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onb05\Desktop\CMB อ.ศุลีเดช\"/>
    </mc:Choice>
  </mc:AlternateContent>
  <xr:revisionPtr revIDLastSave="0" documentId="8_{FDF6AEA4-922D-4472-BE1F-9E7227EE58F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7" r:id="rId1"/>
    <sheet name="รวม TSK " sheetId="3" r:id="rId2"/>
    <sheet name="Sheet1" sheetId="6" r:id="rId3"/>
    <sheet name="สิริยากร" sheetId="4" r:id="rId4"/>
    <sheet name="เอกนารี" sheetId="5" r:id="rId5"/>
  </sheets>
  <externalReferences>
    <externalReference r:id="rId6"/>
    <externalReference r:id="rId7"/>
  </externalReferences>
  <definedNames>
    <definedName name="_xlnm._FilterDatabase" localSheetId="1" hidden="1">'รวม TSK '!$A$2:$Z$168</definedName>
    <definedName name="_xlcn.WorksheetConnection_WICTSKTeam_08.05.69.xlsxTable11" hidden="1">Table1[]</definedName>
    <definedName name="chance">[1]Sheet3!$L$4:$L$9</definedName>
    <definedName name="Customer_Type">[2]Sheet2!$D$4:$D$12</definedName>
    <definedName name="PJstatus1">[1]Sheet3!$G$4:$G$16</definedName>
    <definedName name="_xlnm.Print_Titles" localSheetId="1">'รวม TSK '!$1:$1</definedName>
    <definedName name="Projectresults">[1]Sheet3!$J$4:$J$6</definedName>
    <definedName name="Projecttypes">[1]Sheet3!$D$4:$D$15</definedName>
    <definedName name="Province">[2]Sheet2!$B$4:$B$80</definedName>
    <definedName name="Query1">#REF!</definedName>
    <definedName name="Result">[2]Sheet2!$I$4:$I$7</definedName>
    <definedName name="Revision_No.">[2]Sheet2!$M$4:$M$13</definedName>
    <definedName name="Status">[2]Sheet2!$F$4:$F$12</definedName>
    <definedName name="Thailandprovinces">[1]Sheet3!$B$4:$B$80</definedName>
    <definedName name="winchance">[2]Sheet2!$K$4:$K$10</definedName>
  </definedNames>
  <calcPr calcId="181029"/>
  <pivotCaches>
    <pivotCache cacheId="1" r:id="rId8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WIC TSK Team_08.05.69.xlsx!Table1"/>
        </x15:modelTables>
      </x15:dataModel>
    </ext>
  </extLst>
</workbook>
</file>

<file path=xl/calcChain.xml><?xml version="1.0" encoding="utf-8"?>
<calcChain xmlns="http://schemas.openxmlformats.org/spreadsheetml/2006/main">
  <c r="A10" i="3" l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J29" i="3"/>
  <c r="J28" i="3"/>
  <c r="J27" i="3"/>
  <c r="J26" i="3"/>
  <c r="J25" i="3"/>
  <c r="J14" i="3"/>
  <c r="J24" i="3"/>
  <c r="J23" i="3"/>
  <c r="J22" i="3"/>
  <c r="J21" i="3"/>
  <c r="J20" i="3"/>
  <c r="J19" i="3"/>
  <c r="J13" i="3"/>
  <c r="J16" i="3"/>
  <c r="J15" i="3"/>
  <c r="J18" i="3"/>
  <c r="J17" i="3"/>
  <c r="J12" i="3"/>
  <c r="J11" i="3"/>
  <c r="J10" i="3"/>
  <c r="J9" i="3"/>
  <c r="J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CB1C91-512E-4D3E-985D-E94675EA2A4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E8CAD9D-C41F-45F8-AD3E-F847CE9B00C3}" name="WorksheetConnection_WIC TSK Team_08.05.69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WICTSKTeam_08.05.69.xlsxTable11"/>
        </x15:connection>
      </ext>
    </extLst>
  </connection>
</connections>
</file>

<file path=xl/sharedStrings.xml><?xml version="1.0" encoding="utf-8"?>
<sst xmlns="http://schemas.openxmlformats.org/spreadsheetml/2006/main" count="3247" uniqueCount="876">
  <si>
    <t>E-MAIL</t>
  </si>
  <si>
    <t>ITEM</t>
  </si>
  <si>
    <t>(MAIN CUSTOMER)</t>
  </si>
  <si>
    <t>TELEPHONE</t>
  </si>
  <si>
    <t>MOBILE</t>
  </si>
  <si>
    <t>ID LINE</t>
  </si>
  <si>
    <t>**  NECESSARIES DATA **</t>
  </si>
  <si>
    <t>CUSTOMER  MANAGEMENT  BOOK ( CMB )</t>
  </si>
  <si>
    <t>จัดซื้อ</t>
  </si>
  <si>
    <t>CUSTOMER NAME
ชื่อ-บริษัท</t>
  </si>
  <si>
    <t>CUSTOMER GRADE
เกรดลูกค้า</t>
  </si>
  <si>
    <t>FORECAST
ยอดคาดการณ์</t>
  </si>
  <si>
    <t>MONTH
เดือน</t>
  </si>
  <si>
    <t>YEAR
ปี</t>
  </si>
  <si>
    <t>ZONE
พื้นที่</t>
  </si>
  <si>
    <t>INDUSTRIAL TYPE
ประเภทอุตสาหกรรม</t>
  </si>
  <si>
    <t>** RESERVATION OF CENTRAL PURCHASING RIGHTS IS NOT ALLOWED **</t>
  </si>
  <si>
    <t>POSITION
ตำแหน่ง</t>
  </si>
  <si>
    <t>CONTACR  ผู้ติดต่อ</t>
  </si>
  <si>
    <t>ที่อยู่</t>
  </si>
  <si>
    <t>เคมี</t>
  </si>
  <si>
    <t>Birla Carbon (Thailand) Public Company Limited</t>
  </si>
  <si>
    <t>จ.อ่างทอง</t>
  </si>
  <si>
    <t>คุณมานิตย์</t>
  </si>
  <si>
    <t xml:space="preserve"> +66 35 672150-4 ext.384</t>
  </si>
  <si>
    <t>manit.war@adityabirla.com</t>
  </si>
  <si>
    <t>บริษัท  ผลิตภัณฑ์กระดาษไทย จำกัด</t>
  </si>
  <si>
    <t>จ.ราชบุรี</t>
  </si>
  <si>
    <t>เยื่อกระดาษ, กระเบื้อง, กระดาษ</t>
  </si>
  <si>
    <t>ENGINEER</t>
  </si>
  <si>
    <t>chanachn@scg.com</t>
  </si>
  <si>
    <t>คุณชนะชน</t>
  </si>
  <si>
    <t>Engineering-Procurement-Construction / ออกแบบ / จัดหา / ก่อสร้างโรงงาน / ผู้รับเหมา</t>
  </si>
  <si>
    <t>โรงไฟฟ้า</t>
  </si>
  <si>
    <t>Double A (1991) Public Company Limited</t>
  </si>
  <si>
    <t xml:space="preserve">supatta_s@doublea1991.com    </t>
  </si>
  <si>
    <t>Lenzing (Thailand) Co.,Ltd.</t>
  </si>
  <si>
    <t>รับจ้างผลิตสินค้า และ เครื่องจักร</t>
  </si>
  <si>
    <t>SCG PACKAGING PUBLIC COMPANY LIMITED</t>
  </si>
  <si>
    <t>KONGRITR@scg.com</t>
  </si>
  <si>
    <t xml:space="preserve">KONGRITR@SCG.COM    </t>
  </si>
  <si>
    <t>โรงปูนซีเมนต์ / ยิปซั่ม</t>
  </si>
  <si>
    <t xml:space="preserve">mingkhwt@scg.com    </t>
  </si>
  <si>
    <t>ทรัพย์ทิพย์</t>
  </si>
  <si>
    <t>ที เอส บี เหล็กกล้า</t>
  </si>
  <si>
    <t>บมจ.พัฒน์กล</t>
  </si>
  <si>
    <t>คุณจิตรวรรณ</t>
  </si>
  <si>
    <t>097-0549693</t>
  </si>
  <si>
    <t>บริษัท  เซลคอน จำกัด</t>
  </si>
  <si>
    <t>คุณปุ๋ย</t>
  </si>
  <si>
    <t>บริษัท ซีโก้ เซอร์วิสแอนด์เมนเทนแนนซ์ จำกัด</t>
  </si>
  <si>
    <t>คุณธนพร</t>
  </si>
  <si>
    <t>บริษัท ไตรแองเกิล จำกัด</t>
  </si>
  <si>
    <t>Khun Somjai</t>
  </si>
  <si>
    <t xml:space="preserve">somjai_triangle@hotmail.com    </t>
  </si>
  <si>
    <t>082-782-8679</t>
  </si>
  <si>
    <t>บริษัท บิ๊กแก๊ส เทคโนโลยี จำกัด</t>
  </si>
  <si>
    <t>porntep@biggas.co.th</t>
  </si>
  <si>
    <t>บริษัท ปูนซิเมนต์ไทย (ท่าหลวง) จำกัด</t>
  </si>
  <si>
    <t>บริษัท เฟมิน่าเลซไดย์เวิคร์คส จำกัด</t>
  </si>
  <si>
    <t>Dhpurchase@feminalace.com</t>
  </si>
  <si>
    <t>คุณ นิล</t>
  </si>
  <si>
    <t xml:space="preserve">Ms. Itsariya </t>
  </si>
  <si>
    <t xml:space="preserve">itsariya.w@univanich.com     </t>
  </si>
  <si>
    <t xml:space="preserve">081-396 2756    </t>
  </si>
  <si>
    <t>สยามคราฟท์อุตสาหกรรม (SCG)</t>
  </si>
  <si>
    <t>คุณชูชีพ</t>
  </si>
  <si>
    <t>จ.ปราจีนบุรี</t>
  </si>
  <si>
    <t xml:space="preserve">คุณสุภัตรา </t>
  </si>
  <si>
    <t>คุณวรรณิภา</t>
  </si>
  <si>
    <t>+66 (0) 87 541 6197</t>
  </si>
  <si>
    <t xml:space="preserve">จ.กรุงเทพ </t>
  </si>
  <si>
    <t>จ.สระบุรี</t>
  </si>
  <si>
    <t xml:space="preserve">คุณคงฤทธิ์ </t>
  </si>
  <si>
    <t>The Siam Cement Public Company Limited</t>
  </si>
  <si>
    <t xml:space="preserve">Khun Mingkhwan    </t>
  </si>
  <si>
    <t>จ.ลพบุรี</t>
  </si>
  <si>
    <t>คุณภานุพงศ์</t>
  </si>
  <si>
    <t>จ.สมุทรปราการ</t>
  </si>
  <si>
    <t>คุณคม</t>
  </si>
  <si>
    <t>080 646 8887</t>
  </si>
  <si>
    <t>จ.สมุทรสาคร</t>
  </si>
  <si>
    <t>02-722-7928-32</t>
  </si>
  <si>
    <t xml:space="preserve">พรเทพ </t>
  </si>
  <si>
    <t>จ.ชัยนาท</t>
  </si>
  <si>
    <t>05-601-9712 (13) ต่อ 117</t>
  </si>
  <si>
    <t>จ.กระบี่</t>
  </si>
  <si>
    <t>บริษัท ยูนิวานิชน้ำมันปาล์ม จำกัด(มหาชน)</t>
  </si>
  <si>
    <t xml:space="preserve">piyanuch@siamrajplc.com    </t>
  </si>
  <si>
    <t xml:space="preserve">National Power Supply Public Company Limited   </t>
  </si>
  <si>
    <t xml:space="preserve">บริษัท สยามราช จำกัด (มหาชน )   </t>
  </si>
  <si>
    <t>คุณปิยะนุช</t>
  </si>
  <si>
    <t>เจ้าคุณเกษตรพืชผล</t>
  </si>
  <si>
    <t>คุณภูเมศ</t>
  </si>
  <si>
    <t>p.pumet@ckapsweet.com</t>
  </si>
  <si>
    <t>ฟินิคซ พัลพ แอนด์ เพเพอร์</t>
  </si>
  <si>
    <t>K.MINGKHWT</t>
  </si>
  <si>
    <t>04-343-3104-6</t>
  </si>
  <si>
    <t>mingkhwn@scg.com</t>
  </si>
  <si>
    <t xml:space="preserve">098-8289636    </t>
  </si>
  <si>
    <t>บริษัท  ฟิวเจอร์ กรีนเนอร์จี จำกัด  </t>
  </si>
  <si>
    <t>บริษัท  น้ำใส 304 จำกัด</t>
  </si>
  <si>
    <t>บริษัท  อี อี เอส รีนิวเอเบิล จำกัด  </t>
  </si>
  <si>
    <t>บริษัท  ซิตี้ เอ็นจิเนียริ่ง จำกัด  </t>
  </si>
  <si>
    <t>จ.อุบลราชธานี</t>
  </si>
  <si>
    <t>K.น้อย</t>
  </si>
  <si>
    <t>045-252977</t>
  </si>
  <si>
    <t>K.ธนพร</t>
  </si>
  <si>
    <t>089-890-6148</t>
  </si>
  <si>
    <t>เหล็ก</t>
  </si>
  <si>
    <t xml:space="preserve">            'น้ำมันพืช / ปาล์ม</t>
  </si>
  <si>
    <t xml:space="preserve">                 BIOGAS</t>
  </si>
  <si>
    <t xml:space="preserve">        อาหารคน         </t>
  </si>
  <si>
    <t>บริษัท  ไทยเคนเปเปอร์ จำกัด</t>
  </si>
  <si>
    <t>คุณพงษ์พัน</t>
  </si>
  <si>
    <t xml:space="preserve">DATE </t>
  </si>
  <si>
    <t>ชื่อพนักงานขาย  Name-Surname  : SIRIYAKORN WIJITHKAJEE 
Sales Code  :  SV</t>
  </si>
  <si>
    <t>CUSTOMER GRADE</t>
  </si>
  <si>
    <t>BRAND ที่จะ FOCUS เพื่อเน้น ทำการเสนอขายเป็นหลัก</t>
  </si>
  <si>
    <t>บริษัท สยามราช จำกัด (มหาชน)</t>
  </si>
  <si>
    <t>C</t>
  </si>
  <si>
    <t>WIKATUREN</t>
  </si>
  <si>
    <t>สมุทรปราการ</t>
  </si>
  <si>
    <t>EPC</t>
  </si>
  <si>
    <t>คุณปิยะนุช จันทนารักษ์</t>
  </si>
  <si>
    <t xml:space="preserve">Purchasing </t>
  </si>
  <si>
    <t>0-2743-5010</t>
  </si>
  <si>
    <t>066-1143593</t>
  </si>
  <si>
    <t>piyanuch@siamrajplc.com</t>
  </si>
  <si>
    <t>329 ม.10 กุศลส่งสามัคคี ซ.1 ถ.รถรางสายเก่า สำโรง อำเภอพระประแดง สมุทรปราการ 10130</t>
  </si>
  <si>
    <t>บริษัท ชยพล อินเตอร์เนชั่นแนล จำกัด</t>
  </si>
  <si>
    <t>VOCESTER</t>
  </si>
  <si>
    <t>นนทบุรี</t>
  </si>
  <si>
    <t>คุณสราวุฒิ</t>
  </si>
  <si>
    <t>Engineering</t>
  </si>
  <si>
    <t>02-964-6669</t>
  </si>
  <si>
    <t>52/18 หมู่ที่ 8 ตำบลบางพูด อำเภอปากเกร็ด จ.นนทบุรี 11120</t>
  </si>
  <si>
    <t>บริษัท ส.ศิริแสง จำกัด</t>
  </si>
  <si>
    <t>A</t>
  </si>
  <si>
    <t>KVC , NEWAY</t>
  </si>
  <si>
    <t>นครปฐม</t>
  </si>
  <si>
    <t>K. Ketsarin Boonrasri (เกด)</t>
  </si>
  <si>
    <t>0-2277-9339</t>
  </si>
  <si>
    <t>086-3026133</t>
  </si>
  <si>
    <t>0863026133</t>
  </si>
  <si>
    <t>ketsarin@siriseang.com</t>
  </si>
  <si>
    <t>140 ถนนวิภาวดีรังสิต แขวงดินแดง  เขตดินแดง  กรุงเทพมหานคร 10400 Bangkok Thailand</t>
  </si>
  <si>
    <t>บริษัท โกลบอล อาร์แอนด์ดี จำกัด</t>
  </si>
  <si>
    <t>Ruthairat Kaewmanee(Yin)</t>
  </si>
  <si>
    <t>02-036-7088</t>
  </si>
  <si>
    <t>099-2188021</t>
  </si>
  <si>
    <t>ruthairat.k@globalrd.co.th</t>
  </si>
  <si>
    <t>124/38 หมู่ที่ 4 แขวงบางเมืองใหม่ เขตเมืองสมุทรปราการ จังหวัดสมุทรปราการ 10270</t>
  </si>
  <si>
    <t>บริษัท ดี.พี.เทคไลน์ จำกัด</t>
  </si>
  <si>
    <t>กรุงเทพ</t>
  </si>
  <si>
    <t>คุณชยาภา (หมวย)</t>
  </si>
  <si>
    <t>0-2408-8326-7</t>
  </si>
  <si>
    <t>089-4774478</t>
  </si>
  <si>
    <t>info@dptechline.com</t>
  </si>
  <si>
    <t xml:space="preserve">266/1 ถนนบางบอน 3 เเขวงหนองแขม เขตหนองแขม กรุงเทพมหานคร 10160 </t>
  </si>
  <si>
    <t>บริษัท ซี.เค.อี.แอนด์ เอส. จำกัด</t>
  </si>
  <si>
    <t>B</t>
  </si>
  <si>
    <t>VV-HOFMANN</t>
  </si>
  <si>
    <t>สมุทรสาคร</t>
  </si>
  <si>
    <t>คุณปัญญา</t>
  </si>
  <si>
    <t>062-289-8253</t>
  </si>
  <si>
    <t>0622898253</t>
  </si>
  <si>
    <t xml:space="preserve">4/17 หมู่ที่ 3 ตำบลสวนหลวง อำเภอกระทุ่มแบน จังหวัดสมุทรสาคร 74110 </t>
  </si>
  <si>
    <t>บริษัท อนันดา อินโนเวชั่น จำกัด</t>
  </si>
  <si>
    <t>NEWAY</t>
  </si>
  <si>
    <t>Mr. Piya Pornchaipanich (A'lek)</t>
  </si>
  <si>
    <t>086-6110029</t>
  </si>
  <si>
    <t>0866110029</t>
  </si>
  <si>
    <t>piya_p@ananda-innovation.com</t>
  </si>
  <si>
    <t>8/87 ซอยกาญจนาภิเษก39 ซอย01 แขวงดอกไม้ เขตประเวศ กรุงเทพมหานคร 10250</t>
  </si>
  <si>
    <t>บริษัท เอ็มเคเค เอเซีย จำกัด</t>
  </si>
  <si>
    <t>D</t>
  </si>
  <si>
    <t>K.Sonrumpha Yukgasemwonk</t>
  </si>
  <si>
    <t>089-2597798</t>
  </si>
  <si>
    <t>Sonrumpha.y@mkkasia.co.th</t>
  </si>
  <si>
    <t xml:space="preserve">25 อาคารอัลม่าลิงค์ ชั้น 12 ซอยชิดลม ถนนเพลินจิต แขวงลุมพินี เขตปทุมวัน กรุงเทพมหานคร 10330 </t>
  </si>
  <si>
    <t>บริษัท ไทยวอเตอร์ ฟิตติ้ง จำกัด</t>
  </si>
  <si>
    <t>NEWAY , KVC</t>
  </si>
  <si>
    <t>ระยอง</t>
  </si>
  <si>
    <t>K.Rungfa Ninkham</t>
  </si>
  <si>
    <t>08-64759680</t>
  </si>
  <si>
    <t>rungfa.ni@strr.co.th</t>
  </si>
  <si>
    <t xml:space="preserve">365 หมู่ที่ 8 ตำบลมาบข่า อำเภอนิคมพัฒนา จ.ระยอง 21180 </t>
  </si>
  <si>
    <t xml:space="preserve">บริษัท แอลซีบี เอสทีอาร์อาร์ จำกัด </t>
  </si>
  <si>
    <t>K.Benjawan Jaiboonma</t>
  </si>
  <si>
    <t>09-45520005</t>
  </si>
  <si>
    <t>benjawan.ja@strr.co.th</t>
  </si>
  <si>
    <t>108 หมู่ที่ 18 ถนนคุ้มเกล้า แขวงแสนแสบ เขตมีนบุรี กรุงเทพมหานคร 10510</t>
  </si>
  <si>
    <t>บริษัท เอส ที อาร์ อาร์ เอ็นจิเนียริ่ง จำกัด</t>
  </si>
  <si>
    <t>K.Warinthip C.(Tom)</t>
  </si>
  <si>
    <t>warinthip.ch@strr.co.th</t>
  </si>
  <si>
    <t>บริษัท ทรัพย์รุ่งเรือง 978 เซอร์วิส จำกัด</t>
  </si>
  <si>
    <t xml:space="preserve">KINETROL </t>
  </si>
  <si>
    <t>คุณธนากร พรมชินวงษ์ (เอ็ม)</t>
  </si>
  <si>
    <t>08-89745146</t>
  </si>
  <si>
    <t>88/249 หมู่บ้าน บุราสิริ บางนา หมู่ที่ 5 ซอย 4/2 ตำบลบางเสาธง อำเภอบางเสาธง จ.สมุทรปราการ 10570</t>
  </si>
  <si>
    <t>บริษัท ทีเอ็นบี คอร์ปอเรชั่น จำกัด</t>
  </si>
  <si>
    <t>ปทุมธานี</t>
  </si>
  <si>
    <t>คุณนครินทร์</t>
  </si>
  <si>
    <t>089-109-6772</t>
  </si>
  <si>
    <t>1212/159 ถนนเลียบคลองรังสิต ตำบลประชาธิปัตย์ อำเภอธัญบุรี จังหวัดปทุมธานี 12130</t>
  </si>
  <si>
    <t>บริษัท ซูพรีม ดีจีจี จำกัด</t>
  </si>
  <si>
    <t>YORK</t>
  </si>
  <si>
    <t>K.Narakorn</t>
  </si>
  <si>
    <t>085-225-7871</t>
  </si>
  <si>
    <t xml:space="preserve">ชั้นที่ 2 เลขที่ 139 ซอยสิรินธร 7 ถนนสิรินธร แขวงบางบำหรุ เขตบางพลัด จังหวัดกรุงเทพมหานคร 10700 </t>
  </si>
  <si>
    <t>บริษัท ไทยเบฟเวอเรจ จำกัด (มหาชน)</t>
  </si>
  <si>
    <t xml:space="preserve">     Bio-Power &amp; FOOD </t>
  </si>
  <si>
    <t xml:space="preserve">คุณอัลชลี </t>
  </si>
  <si>
    <t>0-26176500</t>
  </si>
  <si>
    <t>aunchalee.a@thaibev.com</t>
  </si>
  <si>
    <t>14 ถนนวิภาวดีรังสิต แขวงจอมพล เขตจตุจักร กรุงเทพมหานคร 10900</t>
  </si>
  <si>
    <t>บริษัท เชอร์วู้ด คอร์ปอเรชั่น(ประเทศไทย) จำกัด (มหาชน)</t>
  </si>
  <si>
    <t>ฉะเชิงเทรา</t>
  </si>
  <si>
    <t xml:space="preserve"> Chemical </t>
  </si>
  <si>
    <t>K.Tassawanta Kamthong (Ja)</t>
  </si>
  <si>
    <t>0-3852-2302-9</t>
  </si>
  <si>
    <t>06-15627031</t>
  </si>
  <si>
    <t>tassawanta@sherwood.co.th</t>
  </si>
  <si>
    <t xml:space="preserve">1065 ถนนศรีนครินทร์ แขวงสวนหลวง เขตสวนหลวง กรุงเทพมหานคร 10250 </t>
  </si>
  <si>
    <t>บริษัท ไทย อาซาฮี คาเซอิ สแปนเด็กซ์ จำกัด</t>
  </si>
  <si>
    <t>ชลบุรี</t>
  </si>
  <si>
    <t>คุณสุภาษิต นนท์ดา</t>
  </si>
  <si>
    <t>038483005-614</t>
  </si>
  <si>
    <t>supasit.non@taspandex.co.th</t>
  </si>
  <si>
    <t>919 หมู่ที่ 11 เครือสหพัฒน์ฯ ตำบลหนองขาม อำเภอศรีราชา จังหวัดชลบุรี 20230</t>
  </si>
  <si>
    <t>บริษัท สยาม พีวีเอส เคมิคอลส์ จำกัด</t>
  </si>
  <si>
    <t>คุณศุภชัย</t>
  </si>
  <si>
    <t>0-2323-9980</t>
  </si>
  <si>
    <t>supachai@siampvs.com</t>
  </si>
  <si>
    <t>403 หมู่ 4 นิคมอุตสาหกรรมบางปู ถ.สุขุมวิท ต.แพรกษา  อ.เมือง  จ.สมุทรปราการ 10280</t>
  </si>
  <si>
    <t>บริษัท โปลิโฟมราชบุรี จำกัด</t>
  </si>
  <si>
    <t>KINETROL</t>
  </si>
  <si>
    <t>ราชบุรี</t>
  </si>
  <si>
    <t>คุณธานินทร์</t>
  </si>
  <si>
    <t>032-919951-4</t>
  </si>
  <si>
    <t>094-5564344</t>
  </si>
  <si>
    <t>0945564344</t>
  </si>
  <si>
    <t xml:space="preserve">188 หมู่ที่ 2 ตำบลห้วยไผ่ อำเภอเมืองราชบุรี จังหวัดราชบุรี 70000 </t>
  </si>
  <si>
    <t>บริษัท โนเบล เอ็นซี จำกัด</t>
  </si>
  <si>
    <t>ชัยนาท</t>
  </si>
  <si>
    <t>คุณธานิน</t>
  </si>
  <si>
    <t>091-0252692</t>
  </si>
  <si>
    <t>0910252692</t>
  </si>
  <si>
    <t>232 หมู่ 1 ต.โพนางดำออก อำเภอ สรรพยา ชัยนาท 17150</t>
  </si>
  <si>
    <t>บริษัท ไลอ้อน (ประเทศไทย) จำกัด</t>
  </si>
  <si>
    <t xml:space="preserve">K. Lalita Kuptawanitcharoen (Jan) </t>
  </si>
  <si>
    <t>038763-080-99</t>
  </si>
  <si>
    <t>084-6959152</t>
  </si>
  <si>
    <t>lalita@lion.co.th</t>
  </si>
  <si>
    <t>507 หมู่ที่ 11 ถนน สุขาภิบาล 8 ตำบลหนองขาม อำเภอศรีราชา จังหวัดชลบุรี 20230</t>
  </si>
  <si>
    <t>บริษัท อาโครม่า เท็กซ์ไทล์ เอฟเฟคส์ (ประเทศไทย) จำกัด</t>
  </si>
  <si>
    <t>K.Monton Hannarong</t>
  </si>
  <si>
    <t>034-131999</t>
  </si>
  <si>
    <t>063-1899834</t>
  </si>
  <si>
    <t>monton.hannarong@archroma.com</t>
  </si>
  <si>
    <t>90/2 หมู่ที่ 4 ถนนบางปลา ตำบลบ้านเกาะ อำเภอเมืองสมุทรสาคร จ.สมุทรสาคร 74000</t>
  </si>
  <si>
    <t>บริษัท แอคเวล ระยอง (ประเทศไทย) จำกัด</t>
  </si>
  <si>
    <t>KINETROL , WIKATUREN</t>
  </si>
  <si>
    <t>K. Jenjira Puangpim (Jen)</t>
  </si>
  <si>
    <t>065-7163293</t>
  </si>
  <si>
    <t>Suchulee.PEANKOBKU@as.akwel-automotive.com</t>
  </si>
  <si>
    <t xml:space="preserve">500/50 หมู่ที่ 3 นิคมอุตสาหกรรมดับบลิวเอชเออีสเทิร์นซีบอร์ด 1 ตำบลตาสิทธิ์ อำเภอปลวกแดง จ.ระยอง 21140 </t>
  </si>
  <si>
    <t>บริษัท สตาร์ พลัส เคมีคอล จำกัด</t>
  </si>
  <si>
    <t>VOCESTER, WIKATUREN</t>
  </si>
  <si>
    <t>คุณธรรมศักดิ์</t>
  </si>
  <si>
    <t>0-2645-1933</t>
  </si>
  <si>
    <t>09-34361717</t>
  </si>
  <si>
    <t>kwanchaichaisri@gmail.com</t>
  </si>
  <si>
    <t>100/1 อาคารวรสมบัติ ชั้น 12LC ถ.พระราม 9 แขวงห้วยขวาง เขตห้วยขวาง กรุงเทพฯ 10310</t>
  </si>
  <si>
    <t>บริษัท สตาร์วู๊ด เคมีคอล จำกัด</t>
  </si>
  <si>
    <t>บริษัท อิมเมอรี่ส์ เซรามิคส์ (ประเทศไทย) จำกัด</t>
  </si>
  <si>
    <t>ลำปาง</t>
  </si>
  <si>
    <t>บริษัท สก๊อตอินดัสเตรียล(ประเทศไทย) จำกัด</t>
  </si>
  <si>
    <t>FOOD</t>
  </si>
  <si>
    <t>คุณโจ้</t>
  </si>
  <si>
    <t>02-669-6999</t>
  </si>
  <si>
    <t>081-2397890</t>
  </si>
  <si>
    <t>0812397890</t>
  </si>
  <si>
    <t>52/8 หมู่ที่ 8 ถนนบางบัวทอง-สุพรรณบุรี ตำบลละหาร อำเภอบางบัวทอง จ.นนทบุรี 11110</t>
  </si>
  <si>
    <t>บริษัท ไทย อกริ ฟู้ดส์ จำกัด (มหาชน)</t>
  </si>
  <si>
    <t>คุณก้อย</t>
  </si>
  <si>
    <t>022-94017881-245</t>
  </si>
  <si>
    <t>Ratree.koi@thaiagri.com</t>
  </si>
  <si>
    <t xml:space="preserve">155/1 ม.1 ถ.เทพารักษ์  ต.บางเสาธง  อ.บางเสาธง จ.สมุทรปราการ </t>
  </si>
  <si>
    <t>บริษัท ไทยแทน ฟู้ดส์ อินเตอร์เนชั่นแนล จำกัด</t>
  </si>
  <si>
    <t>บริษัท สุราบางยี่ขัน จำกัด</t>
  </si>
  <si>
    <t>คุณวิโรจน์</t>
  </si>
  <si>
    <t>094-4266364</t>
  </si>
  <si>
    <t>0944266364</t>
  </si>
  <si>
    <t>82 หมู่ที่ 3 ตำบลบางคูวัด อำเภอเมืองปทุมธานี จังหวัดปทุมธานี 12000</t>
  </si>
  <si>
    <t xml:space="preserve">บริษัท สิงห์ เบเวอเรช จำกัด </t>
  </si>
  <si>
    <t>คุณโสภณ</t>
  </si>
  <si>
    <t>034-24-5600-39</t>
  </si>
  <si>
    <t>094-9242535</t>
  </si>
  <si>
    <t>99 ถนน 3422 หมู่ 10 ตำบล บัวปากท่า อำเภอบางเลน นครปฐม 73130</t>
  </si>
  <si>
    <t>บริษัท แสงโสม จำกัด</t>
  </si>
  <si>
    <t>คุณ ชัยวาล</t>
  </si>
  <si>
    <t>034 321 778</t>
  </si>
  <si>
    <t>089-8161617</t>
  </si>
  <si>
    <t>49 หมู่ 4 ตำบล หอมเกร็ด อำเภอสามพราน นครปฐม 73110</t>
  </si>
  <si>
    <t>บริษัท น้ำมันพืชปทุม จำกัด</t>
  </si>
  <si>
    <t>คุณเฉลิมพล</t>
  </si>
  <si>
    <t>02-434-8384-7</t>
  </si>
  <si>
    <t xml:space="preserve">1/8 ซอยจรัญสนิทวงศ์ 55 ถนนจรัญสนิทวงศ์ แขวงบางบำหรุ  เขตบางพลัด  จังหวัดกรุงเทพมหานคร 10700 </t>
  </si>
  <si>
    <t>บริษัท ซีพี-เมจิ จำกัด</t>
  </si>
  <si>
    <t xml:space="preserve">สระบุรี </t>
  </si>
  <si>
    <t xml:space="preserve">K.Kitpadon </t>
  </si>
  <si>
    <t>085-9806843-5</t>
  </si>
  <si>
    <t>Kitpadol.sun@cpmeiji.com</t>
  </si>
  <si>
    <t>1 อาคารซี.พี.ทาวเวอร์ 2 ชั้น 30 ถนนรัชดาภิเษก แขวงดินแดง เขตดินแดง กรุงเทพมหานคร 10400</t>
  </si>
  <si>
    <t>บริษัท อันดามันซูริมิ อินดัสทรีส์ จำกัด</t>
  </si>
  <si>
    <t>คุณอนุชา</t>
  </si>
  <si>
    <t>034822-958-9</t>
  </si>
  <si>
    <t>12/32 หมู่ที่ 3 ต.บางกระเจ้า  อ.เมืองสมุทรสาคร จ.สมุทรสาคร 74000</t>
  </si>
  <si>
    <t>บริษัท ปทุมธานี บริวเวอรี่ จำกัด</t>
  </si>
  <si>
    <t>บริษัท เบอร์ล่า คาร์บอน(ไทยแลนด์) จำกัด (มหาชน)</t>
  </si>
  <si>
    <t>อ่างทอง</t>
  </si>
  <si>
    <t>Oil &amp; GAS</t>
  </si>
  <si>
    <t>Mr.Supatphong  Thongpimol</t>
  </si>
  <si>
    <t>035 672150-4 Ext. 234</t>
  </si>
  <si>
    <t>supatphong.thongpimo@adityabirla.com</t>
  </si>
  <si>
    <t>44 หมู่ที่ 1 ถนนอยุธยา-อ่างทอง ตำบลโพสะ อำเภอเมืองอ่างทอง จ.อ่างทอง 14000</t>
  </si>
  <si>
    <t>บริษัท อินเตอร์ แปซิฟิค เปเปอร์ จำกัด</t>
  </si>
  <si>
    <t>ปราจีนบุรี</t>
  </si>
  <si>
    <t>Paper</t>
  </si>
  <si>
    <t>คุณก้อง</t>
  </si>
  <si>
    <t>092-6509373</t>
  </si>
  <si>
    <t>0926509373</t>
  </si>
  <si>
    <t xml:space="preserve">99 ม.4 ถ.บ้านสร้าง-คลองสารภี  ต.บางพลวง  อ.บ้านสร้าง  จ.ปราจีนบุรี 25150 </t>
  </si>
  <si>
    <t>บริษัท เอลีท คราฟท์ เปเปอร์ จำกัด</t>
  </si>
  <si>
    <t>สระแก้ว</t>
  </si>
  <si>
    <t xml:space="preserve">คุณอุมาพร เพ็ชรมาตย์ </t>
  </si>
  <si>
    <t>0-2452-5950-3</t>
  </si>
  <si>
    <t>086-5454196</t>
  </si>
  <si>
    <t xml:space="preserve">200 หมู่ที่ 13 ตำบลศาลาลำดวน อำเภอเมืองสระแก้ว จังหวัดสระแก้ว 27000 </t>
  </si>
  <si>
    <t>บริษัท ไทยเบฟเวอเรจ เอ็นเนอร์ยี่ จำกัด</t>
  </si>
  <si>
    <t>กาญจนบุรี</t>
  </si>
  <si>
    <t>Power Plant</t>
  </si>
  <si>
    <t xml:space="preserve">คุณอำนาจ </t>
  </si>
  <si>
    <t>061-4126743</t>
  </si>
  <si>
    <t>amnaj.k@thaibev.com</t>
  </si>
  <si>
    <t>99 วังขนาย 7 ตำบล วังขนาย อำเภอท่าม่วง กาญจนบุรี 71110</t>
  </si>
  <si>
    <t>บริษัท ซี.เอ.เอส. เปเปอร์ มิลล์ จำกัด</t>
  </si>
  <si>
    <t xml:space="preserve">สิงห์บุรี </t>
  </si>
  <si>
    <t>คุณกอล์ฟ</t>
  </si>
  <si>
    <t>02-3078559</t>
  </si>
  <si>
    <t>063-2070437</t>
  </si>
  <si>
    <t>tatchayapakorn-w@caspapermill.com</t>
  </si>
  <si>
    <t>64/3 ม.3 ถนนสายเอเซีย กม.93.5 ตำบลโพกรวม อำเภอเมืองสิงห์บุรี จังหวัดสิงห์บุรี 16000</t>
  </si>
  <si>
    <t>บริษัท แม่วงศ์ เอ็นเนอยี่ จำกัด</t>
  </si>
  <si>
    <t>นครสวรรค์</t>
  </si>
  <si>
    <t>คุณอั๊ม</t>
  </si>
  <si>
    <t>063-1974201</t>
  </si>
  <si>
    <t>2,4 ประเสริฐมนูกิจ 29 แยก 8 ถนนประเสริฐมนูกิจ แขวงจรเข้บัว เขตลาดพร้าว กรุงเทพมหานคร</t>
  </si>
  <si>
    <t xml:space="preserve">บริษัท กัลฟ์ เอ็นเนอร์จี ดีเวลลอปเมนท์ จำกัด (มหาชน) </t>
  </si>
  <si>
    <t>K.Nuntawan Chairatanasongporn</t>
  </si>
  <si>
    <t>082-9149399</t>
  </si>
  <si>
    <t>Nuntawan.ch@gulf.co.th</t>
  </si>
  <si>
    <t>87 อาคาร เอ็มไทย ทาวเวอร์ ออลซีซั่น เพลส ชั้น 11 ถนนวิทยุ แขวงลุมพินี เขตปทุมวัน กรุงเทพมหานคร 10330</t>
  </si>
  <si>
    <t>บริษัท ทีพีไอ โพลีน จำกัด (มหาชน)</t>
  </si>
  <si>
    <t>VOCESTER,KINETROL</t>
  </si>
  <si>
    <t>คุณบริมาส มหาปราบ</t>
  </si>
  <si>
    <t>085-4843171</t>
  </si>
  <si>
    <t>borimas@tpipolene.co.th</t>
  </si>
  <si>
    <t>26/56 ถนนจันทน์ตัดใหม่ แขวงทุ่งมหาเมฆ เขตสาทร กรุงเทพมหานคร 10120</t>
  </si>
  <si>
    <t>บริษัท ไทยแอลกอฮอล์ จำกัด (มหาชน)</t>
  </si>
  <si>
    <t xml:space="preserve">คุณสมใจ </t>
  </si>
  <si>
    <t>022-877385</t>
  </si>
  <si>
    <t>somjai.t@cristalla.co.th</t>
  </si>
  <si>
    <t xml:space="preserve">1 อาคารเอ็มไพร์ ทาวเวอร์ ชั้น 43 ถนนสาทรใต้ แขวงยานนาวา เขตสาทร กรุงเทพฯ  10120 </t>
  </si>
  <si>
    <t>บริษัท ดั๊บเบิ้ล เอ (1991) จำกัด (มหาชน)</t>
  </si>
  <si>
    <t>VOCESTER , KINETROL</t>
  </si>
  <si>
    <t>คุณถกล</t>
  </si>
  <si>
    <t>037208-800-39</t>
  </si>
  <si>
    <t>085-8350560</t>
  </si>
  <si>
    <t>125 หมู่ 2 ต.ท่าตูม  อ.ศรีมหาโพธิ  จ.ปราจีนบุรี 25140</t>
  </si>
  <si>
    <t>บริษัท ดั๊บเบิ้ล เอ น้ำใส จำกัด</t>
  </si>
  <si>
    <t>คุณพรรณิภา</t>
  </si>
  <si>
    <t>085-835-1212</t>
  </si>
  <si>
    <t>บริษัท อี 85 จำกัด</t>
  </si>
  <si>
    <t>คุณณัฐธิดา</t>
  </si>
  <si>
    <t>085-8350576</t>
  </si>
  <si>
    <t>78 หมู่ที่ 4 ตำบลท่าตูม อำเภอศรีมหาโพธิ จ.ปราจีนบุรี 25140</t>
  </si>
  <si>
    <t xml:space="preserve">บริษัท เนชั่นแนล เพาเวอร์ </t>
  </si>
  <si>
    <t>คุณชนิดา</t>
  </si>
  <si>
    <t>085-8351470</t>
  </si>
  <si>
    <t>1 หมู่ที่ 2 ตำบลท่าตูม อำเภอศรีมหาโพธิ จ.ปราจีนบุรี 25140</t>
  </si>
  <si>
    <t>บริษัท อะโกร ไฟเบอร์ จำกัด</t>
  </si>
  <si>
    <t>คุณเกล</t>
  </si>
  <si>
    <t>บริษัท แอ๊ดวานซ์ เปเปอร์ มิลล์</t>
  </si>
  <si>
    <t>คุณชมพู</t>
  </si>
  <si>
    <t>085-8357158</t>
  </si>
  <si>
    <t xml:space="preserve">บริษัท น้ำใส 304 จำกัด </t>
  </si>
  <si>
    <t>คุณณัฐพล</t>
  </si>
  <si>
    <t>085-8356613</t>
  </si>
  <si>
    <t>บริษัท ปัญจพล พัลพ์ อินดัสตรี้ จำกัด (มหาชน)</t>
  </si>
  <si>
    <t xml:space="preserve">บริษัท อุตสาหกรรมโคราช จำกัด </t>
  </si>
  <si>
    <t>นครราชสีมา</t>
  </si>
  <si>
    <t>Power Plant &amp; SUGAR</t>
  </si>
  <si>
    <t xml:space="preserve">คุณชาคร </t>
  </si>
  <si>
    <t>090-8908102</t>
  </si>
  <si>
    <t>0908908102</t>
  </si>
  <si>
    <t xml:space="preserve">701 ถ.ไมตรีจิตต์ แขวงป้อมปราบ  เขตป้อมปราบศัตรูพ่าย  กรุงเทพฯ </t>
  </si>
  <si>
    <t>บริษัท แกมม่าเท็กซ์ไทล์แมนนูแฟคเจอริ่ง จำกัด</t>
  </si>
  <si>
    <t>TEXTILE</t>
  </si>
  <si>
    <t>คุณปุ๊ก</t>
  </si>
  <si>
    <t>0-3449-0062-4</t>
  </si>
  <si>
    <t>089-5328501</t>
  </si>
  <si>
    <t>0895328501</t>
  </si>
  <si>
    <t>39/104-5 หมู่ 2 นิคมอุตสาหกรรมสมุทรสาคร ถนนพระราม 2 ตำบลบางกระเจ้า อำเภอเมืองสมุทรสาคร จังหวัดสมุทรสาคร 74000</t>
  </si>
  <si>
    <t>บริษัท กังวาลเท็กซ์ไทล์ จำกัด</t>
  </si>
  <si>
    <t>คุณสมปอง</t>
  </si>
  <si>
    <t>0-2220-7000</t>
  </si>
  <si>
    <t>089-2113187</t>
  </si>
  <si>
    <t>weaving@kangwal.co.th</t>
  </si>
  <si>
    <t>144 หมู่ที่ 4 ตำบลบ้านฆ้อง อำเภอโพธาราม จ.ราชบุรี 70120</t>
  </si>
  <si>
    <t>.</t>
  </si>
  <si>
    <t>TOTAL</t>
  </si>
  <si>
    <t xml:space="preserve">DATE : 6/5/2026 </t>
  </si>
  <si>
    <t>ชื่อพนักงานขาย  Name-Surname  : EKNAREE (NAREE)
Sales Code  :   EN</t>
  </si>
  <si>
    <t>BRAND ที่จะ FOCUS เพื่อเน้นทำการเสนอขายเป็นหลัก</t>
  </si>
  <si>
    <t>ดีมายเออร์ จำกัด</t>
  </si>
  <si>
    <t>ลาดพร้าว/กทม.</t>
  </si>
  <si>
    <t>คุณจิตสุภา</t>
  </si>
  <si>
    <t>purchase</t>
  </si>
  <si>
    <t>0906786752</t>
  </si>
  <si>
    <t>jitsupa.si@demier.net</t>
  </si>
  <si>
    <t>อิตัลไทย วิศวกรรมจำกัด</t>
  </si>
  <si>
    <t>ห้วยขวาง/กทม.</t>
  </si>
  <si>
    <t>คุณพลอย</t>
  </si>
  <si>
    <t>mechanical engineer</t>
  </si>
  <si>
    <t>0992426156</t>
  </si>
  <si>
    <t>thitichayaporn@italthaiengineering.com</t>
  </si>
  <si>
    <t>ร็อคเอ็นจิเนียริ่ง จำกัด</t>
  </si>
  <si>
    <t>เมืองชลบุรี/ชลบุรี</t>
  </si>
  <si>
    <t>คุณกิตติ์โภคิน</t>
  </si>
  <si>
    <t>engineer</t>
  </si>
  <si>
    <t>0926194519</t>
  </si>
  <si>
    <t>kitpokin@rock-engineering.net</t>
  </si>
  <si>
    <t>วิศวกรรมและการโยธา สยามเทคนิค กรุ๊ป จำกัด</t>
  </si>
  <si>
    <t>ราษฎร์บูรณะ/กทม.</t>
  </si>
  <si>
    <t>คุณพิพัฒน์</t>
  </si>
  <si>
    <t>0813252975</t>
  </si>
  <si>
    <t>PIPHAT@stpsteel.co.th</t>
  </si>
  <si>
    <t>จาร์ดีน เอ็นจิเนียริ่ง จำกัด</t>
  </si>
  <si>
    <t>พญาไท/กทม.</t>
  </si>
  <si>
    <t>คุณพงพัศร</t>
  </si>
  <si>
    <t>0896622035</t>
  </si>
  <si>
    <t>phongphat.du@th.jec.com</t>
  </si>
  <si>
    <t>เออีซี อินดัสเตรียล เซอร์วิส จำกัด</t>
  </si>
  <si>
    <t>เมืองสมุทรสาคร/สมุทรสาคร</t>
  </si>
  <si>
    <t>คุณวิษณุ</t>
  </si>
  <si>
    <t>0830324691</t>
  </si>
  <si>
    <t>wisanu.t@aecis.co.th</t>
  </si>
  <si>
    <t>คุนหมิง ไลท์ อินดัสตรี้ จำกัด</t>
  </si>
  <si>
    <t>ไทรน้อย/นนทบุรี</t>
  </si>
  <si>
    <t>0935616553</t>
  </si>
  <si>
    <t>procurement.klim@gmail.com</t>
  </si>
  <si>
    <t>เจ.บี.แอล.สถาปัตย์ จำกัด</t>
  </si>
  <si>
    <t>เมืองราชบุรี/ราชบุรี</t>
  </si>
  <si>
    <t>0861548922</t>
  </si>
  <si>
    <t>-</t>
  </si>
  <si>
    <t>ไมโครเวิร์ค จำกัด</t>
  </si>
  <si>
    <t>บางบัวทอง/นนทบุรี</t>
  </si>
  <si>
    <t>คุณประยุทธ</t>
  </si>
  <si>
    <t>0896626366</t>
  </si>
  <si>
    <t>เพาเวอร์ไลน์ เอ็นจิเนียริ่ง จำกัด (มหาชน)</t>
  </si>
  <si>
    <t>กทม.</t>
  </si>
  <si>
    <t>คุณนิเวศ</t>
  </si>
  <si>
    <t>0800592300</t>
  </si>
  <si>
    <t>คุณวิทยา</t>
  </si>
  <si>
    <t>atimate engineer</t>
  </si>
  <si>
    <t>ศรีศรันย์เอ็นจิเนียริ่ง จำกัด</t>
  </si>
  <si>
    <t>คุณนัท.</t>
  </si>
  <si>
    <t>0805689585</t>
  </si>
  <si>
    <t>จันทร์เมือง เอ็นจิเนียริ่ง จำกัด</t>
  </si>
  <si>
    <t>คุณกุ้ง</t>
  </si>
  <si>
    <t>0845266401</t>
  </si>
  <si>
    <t>เคซี ไดน์เอ็นจิ้น จำกัด</t>
  </si>
  <si>
    <t>0863407739</t>
  </si>
  <si>
    <t>เทอร์เรค ไคนิเมติคส์ จำกัด</t>
  </si>
  <si>
    <t>คุณนก</t>
  </si>
  <si>
    <t>028748178</t>
  </si>
  <si>
    <t>พี.เอส.เพาเวอร์ลายส์ จำกัด</t>
  </si>
  <si>
    <t>คุณเกรียงไกร</t>
  </si>
  <si>
    <t>0818121067</t>
  </si>
  <si>
    <t>คอพเพิร์นเอ็นจิเนียริ่ง จำกัด</t>
  </si>
  <si>
    <t>คุณปิยะพน</t>
  </si>
  <si>
    <t>0887858443</t>
  </si>
  <si>
    <t>ออลไพพ์ เน็ตเวิร์ค เอ็นจิเนียริ่ง จำกัด</t>
  </si>
  <si>
    <t>คุณสราวุธ</t>
  </si>
  <si>
    <t>เจ้าของบริษัท</t>
  </si>
  <si>
    <t>0641428555</t>
  </si>
  <si>
    <t>เอกอน แปซิฟิค จำกัด</t>
  </si>
  <si>
    <t>คุณอุษณีย์</t>
  </si>
  <si>
    <t>Proposal Manager</t>
  </si>
  <si>
    <t>0944964719</t>
  </si>
  <si>
    <t>แอลซี เทคโนโลยี จำกัด</t>
  </si>
  <si>
    <t>คุณอริสรา</t>
  </si>
  <si>
    <t>0815290596</t>
  </si>
  <si>
    <t>เบรฟ เทคโนโลยี จำกัด</t>
  </si>
  <si>
    <t>คุณโดม</t>
  </si>
  <si>
    <t>รชตะ อินดัสเตรียล จำกัด</t>
  </si>
  <si>
    <t>คุณสมบัติ</t>
  </si>
  <si>
    <t>เทคโน คูล (ประเทศไทย) จำกัด</t>
  </si>
  <si>
    <t>คุณจอร์น</t>
  </si>
  <si>
    <t xml:space="preserve">เอทีพี อินโนเวชั่นส์ จำกัด </t>
  </si>
  <si>
    <t>คุณปฐวี</t>
  </si>
  <si>
    <t>0981066043</t>
  </si>
  <si>
    <t>ฟุกเฮงหลง เอ็นจิเนียริง จำกัด</t>
  </si>
  <si>
    <t>คุณกันต์</t>
  </si>
  <si>
    <t>เค ลิม  (ประเทศไทย) จำกัด</t>
  </si>
  <si>
    <t>เซอร์โคโน จำกัด</t>
  </si>
  <si>
    <t>คุณเก๋</t>
  </si>
  <si>
    <t>โน ซีลิ่ง จำกัด</t>
  </si>
  <si>
    <t>จัดซื้อมีหลายคน</t>
  </si>
  <si>
    <t>กวิน วิศวกรรม (ประเทศไทย) จำกัด</t>
  </si>
  <si>
    <t>คุณธิติพันธ์</t>
  </si>
  <si>
    <t xml:space="preserve">คิคูชิ อินดัสทรี (ประเทศไทย) จำกัด </t>
  </si>
  <si>
    <t>คุณภานุพงษ์</t>
  </si>
  <si>
    <t xml:space="preserve"> sales engineer</t>
  </si>
  <si>
    <t xml:space="preserve"> 095 993 9966</t>
  </si>
  <si>
    <t>เคพีเอส แอพพลาย แอนด์ เซอร์วิส จำกัด</t>
  </si>
  <si>
    <t>คุณพฤษภา</t>
  </si>
  <si>
    <t>092-954-6261</t>
  </si>
  <si>
    <t>เค เอส เอ็ม ซัพพลาย จำกัด</t>
  </si>
  <si>
    <t>คุณมด</t>
  </si>
  <si>
    <t>064-969-9628</t>
  </si>
  <si>
    <t>เค พี เอ็น กรีน จำกัด</t>
  </si>
  <si>
    <t>เค.เอส.ซี.เทคโนโลยี (ประเทศไทย) จำกัด</t>
  </si>
  <si>
    <t>เคที สตีมเทค  จำกัด</t>
  </si>
  <si>
    <t>คุณผจญ</t>
  </si>
  <si>
    <t>ซ่อมบำรุง</t>
  </si>
  <si>
    <t>0982498718</t>
  </si>
  <si>
    <t>เอ็กเพิร์ททีม จำกัด</t>
  </si>
  <si>
    <t>คุณฟิล์ม</t>
  </si>
  <si>
    <t>แซนเทค เทคโนโลยี จำกัด</t>
  </si>
  <si>
    <t>คุณอุ้ม</t>
  </si>
  <si>
    <t>CEMENT</t>
  </si>
  <si>
    <t>ปูนซีเมนต์นครหลวง จำกัด (มหาชน) (ปูนแก่งคอย)</t>
  </si>
  <si>
    <t>แก่งคอย/สระบุรี</t>
  </si>
  <si>
    <t>ปูนซีเมนต์</t>
  </si>
  <si>
    <t>คุณพุทธชัย</t>
  </si>
  <si>
    <t>0980905533</t>
  </si>
  <si>
    <t>PUTTACHAI.LUESAK@siamcitycement.com</t>
  </si>
  <si>
    <t>ปูนซิเมนต์ไทย (ท่าหลวง) จำกัด (โรงงานเขาวง)</t>
  </si>
  <si>
    <t>ท่าหลวง/สระบุรี</t>
  </si>
  <si>
    <t>คุณสมเกียรติ</t>
  </si>
  <si>
    <t>0863409643</t>
  </si>
  <si>
    <t>ปูนซิเมนต์ไทย จำกัด (ท่าหลวง)</t>
  </si>
  <si>
    <t>คุณอดิเรก</t>
  </si>
  <si>
    <t>0825957578</t>
  </si>
  <si>
    <t>เอส ซี จี เซรามิกส์ จำกัด</t>
  </si>
  <si>
    <t>สระบุรี</t>
  </si>
  <si>
    <t>เซรามิก</t>
  </si>
  <si>
    <t>คุณประพันธ์</t>
  </si>
  <si>
    <t>Chemical</t>
  </si>
  <si>
    <t>สยาม พีวีเอส เคมิคอลส์ จำกัด</t>
  </si>
  <si>
    <t>ดีไอซี สยามเคมีคอลอินดัสตรี้ จำกัด</t>
  </si>
  <si>
    <t>เอ็ม.ไทยอินดัสเทรียล จำกัด</t>
  </si>
  <si>
    <t>สารเคมี</t>
  </si>
  <si>
    <t>คุณอัญชลี</t>
  </si>
  <si>
    <t>034422141</t>
  </si>
  <si>
    <t>ทีโอเอ - โดฟเคม อินดัสตรีส์ จำกัด</t>
  </si>
  <si>
    <t>คุณพลชัย</t>
  </si>
  <si>
    <t>0822252706</t>
  </si>
  <si>
    <t>เบเยอร์ จำกัด</t>
  </si>
  <si>
    <t>คุณไบร์ท</t>
  </si>
  <si>
    <t>0983933326</t>
  </si>
  <si>
    <t>เอชวีพลาส จำกัด</t>
  </si>
  <si>
    <t>พลาสติก</t>
  </si>
  <si>
    <t>คุณนิค</t>
  </si>
  <si>
    <t>0813723871</t>
  </si>
  <si>
    <t>Boiler</t>
  </si>
  <si>
    <t>ส.ไพศาล สตีมบอยเลอร์  จำกัด</t>
  </si>
  <si>
    <t>ประเวศ/กทม.</t>
  </si>
  <si>
    <t>ผลิตหม้อบอยเลอร์</t>
  </si>
  <si>
    <t>คุณชมพู่</t>
  </si>
  <si>
    <t>027223004</t>
  </si>
  <si>
    <t>Spbboiler@gmail.com</t>
  </si>
  <si>
    <t>ไทย เค บอยเลอร์ จำกัด</t>
  </si>
  <si>
    <t>คุณคณาพจน์</t>
  </si>
  <si>
    <t>ฝ่ายdesign</t>
  </si>
  <si>
    <t>0917168667</t>
  </si>
  <si>
    <t>SUGAR</t>
  </si>
  <si>
    <t>น้ำตาลไทยอุดร จำกัด</t>
  </si>
  <si>
    <t>บ้านผือ/อุดรธานี</t>
  </si>
  <si>
    <t>โรงงานผลิตน้ำตาล</t>
  </si>
  <si>
    <t>คุณพวงพรรณ</t>
  </si>
  <si>
    <t>0836777405</t>
  </si>
  <si>
    <t>yuwadee@tusm.thaisugarmill.com</t>
  </si>
  <si>
    <t>น้ำตาลเกษตรผล จำกัด</t>
  </si>
  <si>
    <t>คุณวรากร</t>
  </si>
  <si>
    <t>08506584327</t>
  </si>
  <si>
    <t>อุตสาหกรรมมิตรเกษตรกาญ จำกัด</t>
  </si>
  <si>
    <t>คุณศักดิ์ดา</t>
  </si>
  <si>
    <t>0971761429</t>
  </si>
  <si>
    <t>น้ำตาลพิษณุโลก จำกัด</t>
  </si>
  <si>
    <t>คุณเอกชัย</t>
  </si>
  <si>
    <t xml:space="preserve">น้ำจาลบ้านโป่ง </t>
  </si>
  <si>
    <t>คุณยุไรวรรณ</t>
  </si>
  <si>
    <t>น้ำตาลทพิพย์สุโขทัย</t>
  </si>
  <si>
    <t>POWER</t>
  </si>
  <si>
    <t>จีจีซี เคทิส ไบโออินดัสเทรียล จำกัด</t>
  </si>
  <si>
    <t>คุณบรรเจิด</t>
  </si>
  <si>
    <t>0623108894</t>
  </si>
  <si>
    <t>โรงไฟฟ้าสุรินทร์ จำกัด</t>
  </si>
  <si>
    <t>คุณสุขสันต์</t>
  </si>
  <si>
    <t>0868420682</t>
  </si>
  <si>
    <t>พลังไทยผาสุก จำกัด</t>
  </si>
  <si>
    <t>สุโขทัยเอ็นเนอร์ยี่ จำกัด</t>
  </si>
  <si>
    <t>คุณแก๊ป</t>
  </si>
  <si>
    <t>0899944065</t>
  </si>
  <si>
    <t>ก้าวหน้าเพาเวอ์ซัพพลาย จำกัด</t>
  </si>
  <si>
    <t>คุณหน่อยหน่า</t>
  </si>
  <si>
    <t>0892802702</t>
  </si>
  <si>
    <t>เคพีเอ็น กรีน เอ็นเนอจี โซลูชั่น จำกัด (มหาชน)</t>
  </si>
  <si>
    <t>FOOD &amp; BEVERAGE</t>
  </si>
  <si>
    <t>วังน้อยเบเวอเรซ จำกัด</t>
  </si>
  <si>
    <t>โรงงานผลิตเครื่องดื่ม</t>
  </si>
  <si>
    <t>คุณสายชล</t>
  </si>
  <si>
    <t>0899639549</t>
  </si>
  <si>
    <t>อาหารสากล จำกัด (มหาชน)</t>
  </si>
  <si>
    <t>อาหาร</t>
  </si>
  <si>
    <t>คุณวรางคณา</t>
  </si>
  <si>
    <t>034388266</t>
  </si>
  <si>
    <t>ซิปโซ่ ท๊อปปิคอล ดริ๊ง</t>
  </si>
  <si>
    <t>พุทธมณฑล/นครปฐม</t>
  </si>
  <si>
    <t>คุณแพท</t>
  </si>
  <si>
    <t>034989625</t>
  </si>
  <si>
    <t>sipso@hotmail.co.th</t>
  </si>
  <si>
    <t>สุรีย์ อินเตอร์ฟู๊ด จำกัด</t>
  </si>
  <si>
    <t>ทานิตะ แฟบริเคชั่น</t>
  </si>
  <si>
    <t>อาหารสัตว์</t>
  </si>
  <si>
    <t>บางกอกอินเตอร์ฟู๊ด</t>
  </si>
  <si>
    <t xml:space="preserve">อายิโนะโมโต๊ะ กำแพงเพชร </t>
  </si>
  <si>
    <t xml:space="preserve">มาร์ส เพ็ทแคร์ </t>
  </si>
  <si>
    <t>คุณวรชัย</t>
  </si>
  <si>
    <t>0931459914</t>
  </si>
  <si>
    <t>เพ็ทพัล โปรดักส์ จำกัด(มหาชน)</t>
  </si>
  <si>
    <t xml:space="preserve">คุณเอิร์น </t>
  </si>
  <si>
    <t>จัดซื้อengineer</t>
  </si>
  <si>
    <t>Palm oil</t>
  </si>
  <si>
    <t>ล่ำสูง (ประเทศไทย) จํากัด (มหาชน)</t>
  </si>
  <si>
    <t>ผลิตน้ำมันปาล์ม</t>
  </si>
  <si>
    <t>คุณสุรศักดิ์</t>
  </si>
  <si>
    <t>0812972958</t>
  </si>
  <si>
    <t>ไบโอเทคออยด์</t>
  </si>
  <si>
    <t>คุณรัฐนินทร์</t>
  </si>
  <si>
    <t>0846302255</t>
  </si>
  <si>
    <t>ป.พานิชรุ่งเรือง ปาล์มออยล์ 5 จำกัด</t>
  </si>
  <si>
    <t>คุณปุณิกา</t>
  </si>
  <si>
    <t>061-175 1620</t>
  </si>
  <si>
    <t>ที เอส อุตสาหกรรมน้ำมัน จำกัด</t>
  </si>
  <si>
    <t>หัวหน้าแผนกบำบัดน้ำเสีย</t>
  </si>
  <si>
    <t>0958376637</t>
  </si>
  <si>
    <t>Rock / Soil / Mineral</t>
  </si>
  <si>
    <t>มินเนอรัล รีซอร์สเซส ดีเวลลอปเม้นท์ จำกัด</t>
  </si>
  <si>
    <t>ผลิตแร่</t>
  </si>
  <si>
    <t>คุณโจ</t>
  </si>
  <si>
    <t>0811383500</t>
  </si>
  <si>
    <t>ชินชนะ ดินขาว จำกัด</t>
  </si>
  <si>
    <t>กระเบื้อง</t>
  </si>
  <si>
    <t>คุณอุ๊ย</t>
  </si>
  <si>
    <t>027350095#110</t>
  </si>
  <si>
    <t>Starch</t>
  </si>
  <si>
    <t>แป้งมันร้อยเอ็ด จำกัด</t>
  </si>
  <si>
    <t>แป้งมัน</t>
  </si>
  <si>
    <t>คุณดวงเดือน</t>
  </si>
  <si>
    <t>0933190081</t>
  </si>
  <si>
    <t>อายิโน๊ะโมโต๊ะ สาขากำแพงเพชร</t>
  </si>
  <si>
    <t>ผลิตภัณ์ที่ทำจากแป้ง</t>
  </si>
  <si>
    <t>Textile</t>
  </si>
  <si>
    <t>โรงงานทอผ้าเพชรเกษม โรงงาน3</t>
  </si>
  <si>
    <t>ผลิตผ้า</t>
  </si>
  <si>
    <t>คุณสายัญ</t>
  </si>
  <si>
    <t>รองผู้จัดการโรงงาน</t>
  </si>
  <si>
    <t>โกลเด้นเธร็ด</t>
  </si>
  <si>
    <t>บางแค/กทม.</t>
  </si>
  <si>
    <t>ผลิตเส้นด้าย</t>
  </si>
  <si>
    <t>คุณต้น</t>
  </si>
  <si>
    <t>0865633653</t>
  </si>
  <si>
    <t>tonza.engii@gmail.com</t>
  </si>
  <si>
    <t>Building</t>
  </si>
  <si>
    <t>กรุงเทพดุสิตเวชการ</t>
  </si>
  <si>
    <t>ตึกโรงพยาบาล</t>
  </si>
  <si>
    <t>คุณนน์</t>
  </si>
  <si>
    <t>023103000</t>
  </si>
  <si>
    <t>Steel</t>
  </si>
  <si>
    <t>บมจ.สหมิตรถังแก๊ส</t>
  </si>
  <si>
    <t>บางขุนเทียน/กทม.</t>
  </si>
  <si>
    <t>โรงงานผลิตถังแก๊ส</t>
  </si>
  <si>
    <t>คุณจารุวัตร</t>
  </si>
  <si>
    <t>028954139</t>
  </si>
  <si>
    <t>jaruwat@smpcplc.com</t>
  </si>
  <si>
    <t>เอ็มพาวเวอร์สตีล</t>
  </si>
  <si>
    <t>โรงงานผลิตเหล็ก</t>
  </si>
  <si>
    <t>คุณจินตนา</t>
  </si>
  <si>
    <t>0833001114</t>
  </si>
  <si>
    <t xml:space="preserve"> jinthna.lj@empowersteel.com</t>
  </si>
  <si>
    <t>MONTH FORECAST
เดือน</t>
  </si>
  <si>
    <t xml:space="preserve">YEAR FORECAST
ปี </t>
  </si>
  <si>
    <t xml:space="preserve">NN    </t>
  </si>
  <si>
    <t>Sale Code</t>
  </si>
  <si>
    <t>WIC Customer ID</t>
  </si>
  <si>
    <t>Registration Date</t>
  </si>
  <si>
    <t>Team</t>
  </si>
  <si>
    <t>TSK</t>
  </si>
  <si>
    <t>Status</t>
  </si>
  <si>
    <t>CUSTOMER GRADE (Tier)</t>
  </si>
  <si>
    <t>ฐานข้อมูลรายเดิม</t>
  </si>
  <si>
    <t>SV</t>
  </si>
  <si>
    <t>Line ID</t>
  </si>
  <si>
    <t>แขวง/ตำบล</t>
  </si>
  <si>
    <t>เขต/อำเภอ</t>
  </si>
  <si>
    <t>จังหวัด</t>
  </si>
  <si>
    <t>รหัสไปรษณีย์</t>
  </si>
  <si>
    <t>EN</t>
  </si>
  <si>
    <t>Product/Service</t>
  </si>
  <si>
    <t>NO</t>
  </si>
  <si>
    <t>Address</t>
  </si>
  <si>
    <t>MONTH FORECAST</t>
  </si>
  <si>
    <t>YEAR FORECAST</t>
  </si>
  <si>
    <t>A-11620</t>
  </si>
  <si>
    <t>A-11710</t>
  </si>
  <si>
    <t>A-11850</t>
  </si>
  <si>
    <t>A-12450</t>
  </si>
  <si>
    <t>A-13220</t>
  </si>
  <si>
    <t>A-14310</t>
  </si>
  <si>
    <t>A-14471</t>
  </si>
  <si>
    <t>A-14670</t>
  </si>
  <si>
    <t>B-11660</t>
  </si>
  <si>
    <t>B-11970</t>
  </si>
  <si>
    <t>B-12400</t>
  </si>
  <si>
    <t>C-13650</t>
  </si>
  <si>
    <t>C-15480</t>
  </si>
  <si>
    <t>C-15490</t>
  </si>
  <si>
    <t>C-15600</t>
  </si>
  <si>
    <t>D-17040</t>
  </si>
  <si>
    <t>D-17110</t>
  </si>
  <si>
    <t>D-17330</t>
  </si>
  <si>
    <t>D-175560</t>
  </si>
  <si>
    <t>E-11270</t>
  </si>
  <si>
    <t>E-11280</t>
  </si>
  <si>
    <t>F-10910</t>
  </si>
  <si>
    <t>F-11210</t>
  </si>
  <si>
    <t>G-16350</t>
  </si>
  <si>
    <t>G-16380</t>
  </si>
  <si>
    <t>H-10622</t>
  </si>
  <si>
    <t>I-10810</t>
  </si>
  <si>
    <t>J-11140</t>
  </si>
  <si>
    <t>K-11510</t>
  </si>
  <si>
    <t>K-13370</t>
  </si>
  <si>
    <t>K-13490</t>
  </si>
  <si>
    <t>K-20410</t>
  </si>
  <si>
    <t>K-20600</t>
  </si>
  <si>
    <t>K-20700</t>
  </si>
  <si>
    <t>L-11030</t>
  </si>
  <si>
    <t>M-12590</t>
  </si>
  <si>
    <t>M-12780</t>
  </si>
  <si>
    <t>M-12800</t>
  </si>
  <si>
    <t>M-12850</t>
  </si>
  <si>
    <t>N-11240</t>
  </si>
  <si>
    <t>N-11620</t>
  </si>
  <si>
    <t>N-11692</t>
  </si>
  <si>
    <t>P-10300</t>
  </si>
  <si>
    <t>P-10601</t>
  </si>
  <si>
    <t>P-11001</t>
  </si>
  <si>
    <t>P-11145</t>
  </si>
  <si>
    <t>P-11171</t>
  </si>
  <si>
    <t>P-13320</t>
  </si>
  <si>
    <t>P-18320</t>
  </si>
  <si>
    <t>R-11160</t>
  </si>
  <si>
    <t>S-11570</t>
  </si>
  <si>
    <t>S-13690</t>
  </si>
  <si>
    <t>S-13740</t>
  </si>
  <si>
    <t>S-14280</t>
  </si>
  <si>
    <t>S-14390P</t>
  </si>
  <si>
    <t>S-14460</t>
  </si>
  <si>
    <t>S-15020</t>
  </si>
  <si>
    <t>S-15300</t>
  </si>
  <si>
    <t>S-15560</t>
  </si>
  <si>
    <t>S-15670</t>
  </si>
  <si>
    <t>S-16381</t>
  </si>
  <si>
    <t>S-16440</t>
  </si>
  <si>
    <t>S-17110</t>
  </si>
  <si>
    <t>S-17590</t>
  </si>
  <si>
    <t>S-17641</t>
  </si>
  <si>
    <t>T-10482</t>
  </si>
  <si>
    <t>T-12991</t>
  </si>
  <si>
    <t>T-14170</t>
  </si>
  <si>
    <t>T-14240</t>
  </si>
  <si>
    <t>T-14291</t>
  </si>
  <si>
    <t>T-14671</t>
  </si>
  <si>
    <t>T-15335</t>
  </si>
  <si>
    <t>T-15337</t>
  </si>
  <si>
    <t>T-15671</t>
  </si>
  <si>
    <t>T-15780</t>
  </si>
  <si>
    <t>T-204350</t>
  </si>
  <si>
    <t>T-204580</t>
  </si>
  <si>
    <t>T-204710</t>
  </si>
  <si>
    <t>T-204810</t>
  </si>
  <si>
    <t>U-11230</t>
  </si>
  <si>
    <t>V-12000</t>
  </si>
  <si>
    <t>บริษัทอี 85 จำกัด</t>
  </si>
  <si>
    <t>F-10600</t>
  </si>
  <si>
    <t>T-11410</t>
  </si>
  <si>
    <t>J-10540</t>
  </si>
  <si>
    <t>N-10760</t>
  </si>
  <si>
    <t>S-12830</t>
  </si>
  <si>
    <t>G-16180</t>
  </si>
  <si>
    <t>B-11530</t>
  </si>
  <si>
    <t>L-10530</t>
  </si>
  <si>
    <t>A-11360</t>
  </si>
  <si>
    <t>S-18130</t>
  </si>
  <si>
    <t>F-11010</t>
  </si>
  <si>
    <t>N-10810</t>
  </si>
  <si>
    <t>น้ำตาลพิพย์สุโขทัย</t>
  </si>
  <si>
    <t>A-12100</t>
  </si>
  <si>
    <t>T-10880</t>
  </si>
  <si>
    <t>L-1110</t>
  </si>
  <si>
    <t>P-11521</t>
  </si>
  <si>
    <t>S-15970</t>
  </si>
  <si>
    <t>W-10260</t>
  </si>
  <si>
    <t>C-10680P</t>
  </si>
  <si>
    <t>S-15910</t>
  </si>
  <si>
    <t>F-10670</t>
  </si>
  <si>
    <t>E-10640</t>
  </si>
  <si>
    <t>P-11140</t>
  </si>
  <si>
    <t>P-11142</t>
  </si>
  <si>
    <t>P-11141</t>
  </si>
  <si>
    <t>S-120740</t>
  </si>
  <si>
    <t>M-10280</t>
  </si>
  <si>
    <t>T-12940</t>
  </si>
  <si>
    <t>H-10020</t>
  </si>
  <si>
    <t>T-10600</t>
  </si>
  <si>
    <t>K-10850</t>
  </si>
  <si>
    <t>C-11740</t>
  </si>
  <si>
    <t>J-10270</t>
  </si>
  <si>
    <t>S-11650</t>
  </si>
  <si>
    <t>K-10530</t>
  </si>
  <si>
    <t>U-10620</t>
  </si>
  <si>
    <t>A-10990</t>
  </si>
  <si>
    <t>T-11180</t>
  </si>
  <si>
    <t>A-11060</t>
  </si>
  <si>
    <t>C-1180</t>
  </si>
  <si>
    <t>N-10920</t>
  </si>
  <si>
    <t>T-10850</t>
  </si>
  <si>
    <t>S-11740</t>
  </si>
  <si>
    <t>S-11840</t>
  </si>
  <si>
    <t>L-10360</t>
  </si>
  <si>
    <t>S-12070</t>
  </si>
  <si>
    <t>T-10860</t>
  </si>
  <si>
    <t>Column1</t>
  </si>
  <si>
    <t>Grand Total</t>
  </si>
  <si>
    <t>Count of WIC Customer ID</t>
  </si>
  <si>
    <t>National Power Supply Public Company Limited</t>
  </si>
  <si>
    <t>เอทีพี อินโนเวชั่นส์ จำกัด</t>
  </si>
  <si>
    <t>บริษัท เนชั่นแนล เพาเวอร์</t>
  </si>
  <si>
    <t>บริษัท กัลฟ์ เอ็นเนอร์จี ดีเวลลอปเมนท์ จำกัด (มหาชน)</t>
  </si>
  <si>
    <t>มาร์ส เพ็ทแคร์</t>
  </si>
  <si>
    <t>อายิโนะโมโต๊ะ กำแพงเพชร</t>
  </si>
  <si>
    <t>บริษัท แอลซีบี เอสทีอาร์อาร์ จำกัด</t>
  </si>
  <si>
    <t>คิคูชิ อินดัสทรี (ประเทศไทย) จำกัด</t>
  </si>
  <si>
    <t>น้ำจาลบ้านโป่ง</t>
  </si>
  <si>
    <t>บริษัท น้ำใส 304 จำกัด</t>
  </si>
  <si>
    <t>บริษัท สิงห์ เบเวอเรช จำกัด</t>
  </si>
  <si>
    <t>บริษัท สยามราช จำกัด (มหาชน )</t>
  </si>
  <si>
    <t>บริษัท อุตสาหกรรมโคราช จำกัด</t>
  </si>
  <si>
    <t>CUSTOMER NAME ชื่อ-บริษัท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</si>
</sst>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1010000]d/m/yy;@"/>
    <numFmt numFmtId="166" formatCode="_(* #,##0_);_(* \(#,##0\);_(* &quot;-&quot;??_);_(@_)"/>
    <numFmt numFmtId="167" formatCode="_-* #,##0_-;\-* #,##0_-;_-* &quot;-&quot;??_-;_-@_-"/>
  </numFmts>
  <fonts count="86">
    <font>
      <sz val="10"/>
      <name val="Arial"/>
    </font>
    <font>
      <sz val="12"/>
      <color theme="1"/>
      <name val="Browallia New"/>
      <family val="2"/>
    </font>
    <font>
      <sz val="12"/>
      <color theme="1"/>
      <name val="Browallia New"/>
      <family val="2"/>
    </font>
    <font>
      <sz val="12"/>
      <color theme="1"/>
      <name val="Browallia New"/>
      <family val="2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b/>
      <sz val="15"/>
      <color theme="3"/>
      <name val="Arial"/>
      <family val="2"/>
      <charset val="222"/>
    </font>
    <font>
      <sz val="9"/>
      <color theme="1"/>
      <name val="Arial"/>
      <family val="2"/>
      <charset val="222"/>
    </font>
    <font>
      <sz val="9"/>
      <color theme="0"/>
      <name val="Arial"/>
      <family val="2"/>
      <charset val="222"/>
    </font>
    <font>
      <u/>
      <sz val="10"/>
      <color theme="10"/>
      <name val="Arial"/>
      <family val="2"/>
    </font>
    <font>
      <sz val="10"/>
      <name val="Cambria"/>
      <family val="2"/>
      <scheme val="major"/>
    </font>
    <font>
      <sz val="10"/>
      <color theme="1"/>
      <name val="Cambria"/>
      <family val="2"/>
      <scheme val="major"/>
    </font>
    <font>
      <sz val="10"/>
      <color indexed="12"/>
      <name val="Cambria"/>
      <family val="2"/>
      <scheme val="major"/>
    </font>
    <font>
      <sz val="10"/>
      <color rgb="FFFF0000"/>
      <name val="Cambria"/>
      <family val="2"/>
      <scheme val="major"/>
    </font>
    <font>
      <sz val="14"/>
      <color theme="1"/>
      <name val="Cambria"/>
      <family val="2"/>
      <scheme val="major"/>
    </font>
    <font>
      <sz val="8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2"/>
      <color theme="1"/>
      <name val="Cambria"/>
      <family val="2"/>
      <scheme val="major"/>
    </font>
    <font>
      <u/>
      <sz val="10"/>
      <color theme="1"/>
      <name val="Arial"/>
      <family val="2"/>
    </font>
    <font>
      <b/>
      <i/>
      <sz val="16"/>
      <name val="Cambria"/>
      <family val="2"/>
      <scheme val="major"/>
    </font>
    <font>
      <b/>
      <i/>
      <sz val="14"/>
      <name val="Cambria"/>
      <family val="2"/>
      <scheme val="major"/>
    </font>
    <font>
      <sz val="12"/>
      <color indexed="12"/>
      <name val="Cambria"/>
      <family val="1"/>
      <scheme val="major"/>
    </font>
    <font>
      <sz val="12"/>
      <color rgb="FF0000FF"/>
      <name val="Cambria"/>
      <family val="1"/>
      <scheme val="major"/>
    </font>
    <font>
      <sz val="12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0"/>
      <color rgb="FFFF0000"/>
      <name val="Cambria"/>
      <family val="1"/>
      <scheme val="major"/>
    </font>
    <font>
      <u/>
      <sz val="10"/>
      <color theme="1"/>
      <name val="Cambria"/>
      <family val="2"/>
      <scheme val="major"/>
    </font>
    <font>
      <sz val="10"/>
      <color theme="1" tint="4.9989318521683403E-2"/>
      <name val="Cambria"/>
      <family val="2"/>
      <scheme val="major"/>
    </font>
    <font>
      <sz val="20"/>
      <color rgb="FFFF0000"/>
      <name val="Cambria"/>
      <family val="2"/>
      <scheme val="major"/>
    </font>
    <font>
      <b/>
      <u val="double"/>
      <sz val="16"/>
      <color rgb="FFFF0000"/>
      <name val="Cambria"/>
      <family val="1"/>
      <scheme val="major"/>
    </font>
    <font>
      <b/>
      <u val="doubleAccounting"/>
      <sz val="10"/>
      <color rgb="FFFF0000"/>
      <name val="Cambria"/>
      <family val="1"/>
      <scheme val="major"/>
    </font>
    <font>
      <u/>
      <sz val="16"/>
      <color rgb="FFFF0000"/>
      <name val="Cambria"/>
      <family val="2"/>
      <scheme val="major"/>
    </font>
    <font>
      <b/>
      <u/>
      <sz val="16"/>
      <color rgb="FFFF0000"/>
      <name val="Cambria"/>
      <family val="2"/>
      <scheme val="major"/>
    </font>
    <font>
      <sz val="18"/>
      <color rgb="FF0000FF"/>
      <name val="Cambria"/>
      <family val="2"/>
      <scheme val="major"/>
    </font>
    <font>
      <sz val="16"/>
      <color rgb="FF0000FF"/>
      <name val="Cambria"/>
      <family val="2"/>
      <scheme val="major"/>
    </font>
    <font>
      <sz val="14"/>
      <color rgb="FFFF0000"/>
      <name val="Cambria"/>
      <family val="2"/>
      <scheme val="major"/>
    </font>
    <font>
      <sz val="8"/>
      <color rgb="FFFF0000"/>
      <name val="Cambria"/>
      <family val="2"/>
      <scheme val="major"/>
    </font>
    <font>
      <sz val="14"/>
      <name val="Cambria"/>
      <family val="2"/>
      <scheme val="major"/>
    </font>
    <font>
      <u/>
      <sz val="14"/>
      <color theme="10"/>
      <name val="Arial"/>
      <family val="2"/>
    </font>
    <font>
      <sz val="14"/>
      <color theme="10"/>
      <name val="Arial"/>
      <family val="2"/>
    </font>
    <font>
      <u/>
      <sz val="14"/>
      <color theme="10"/>
      <name val="Cambria"/>
      <family val="2"/>
      <scheme val="major"/>
    </font>
    <font>
      <sz val="14"/>
      <color theme="1"/>
      <name val="Times New Roman"/>
      <family val="1"/>
      <charset val="222"/>
    </font>
    <font>
      <sz val="16"/>
      <name val="Cambria"/>
      <family val="2"/>
      <scheme val="major"/>
    </font>
    <font>
      <sz val="16"/>
      <color theme="1"/>
      <name val="Cambria"/>
      <family val="2"/>
      <scheme val="major"/>
    </font>
    <font>
      <sz val="12"/>
      <name val="Browallia New"/>
      <family val="2"/>
    </font>
    <font>
      <sz val="16"/>
      <color rgb="FF0000FF"/>
      <name val="Bahnschrift Light Condensed"/>
      <family val="2"/>
    </font>
    <font>
      <sz val="10"/>
      <color indexed="12"/>
      <name val="Bahnschrift Light Condensed"/>
      <family val="2"/>
    </font>
    <font>
      <sz val="10"/>
      <name val="Bahnschrift Light Condensed"/>
      <family val="2"/>
    </font>
    <font>
      <sz val="16"/>
      <name val="Bahnschrift Light Condensed"/>
      <family val="2"/>
    </font>
    <font>
      <sz val="14"/>
      <color rgb="FF0000FF"/>
      <name val="Bahnschrift Light Condensed"/>
      <family val="2"/>
    </font>
    <font>
      <sz val="11"/>
      <color rgb="FF0000FF"/>
      <name val="Bahnschrift Light Condensed"/>
      <family val="2"/>
    </font>
    <font>
      <sz val="10"/>
      <color rgb="FF0000FF"/>
      <name val="Bahnschrift Light Condensed"/>
      <family val="2"/>
    </font>
    <font>
      <sz val="14"/>
      <color theme="1"/>
      <name val="Bahnschrift Light Condensed"/>
      <family val="2"/>
    </font>
    <font>
      <sz val="16"/>
      <color rgb="FFC00000"/>
      <name val="Bahnschrift Light Condensed"/>
      <family val="2"/>
    </font>
    <font>
      <sz val="10"/>
      <color rgb="FFC00000"/>
      <name val="Bahnschrift Light Condensed"/>
      <family val="2"/>
    </font>
    <font>
      <sz val="14"/>
      <color rgb="FFC00000"/>
      <name val="Bahnschrift Light Condensed"/>
      <family val="2"/>
    </font>
    <font>
      <sz val="11"/>
      <color rgb="FFC00000"/>
      <name val="Bahnschrift Light Condensed"/>
      <family val="2"/>
    </font>
    <font>
      <sz val="12"/>
      <color rgb="FFC00000"/>
      <name val="Bahnschrift Light Condensed"/>
      <family val="2"/>
    </font>
    <font>
      <b/>
      <sz val="12"/>
      <color indexed="12"/>
      <name val="Bahnschrift Light Condensed"/>
      <family val="2"/>
      <charset val="222"/>
    </font>
    <font>
      <b/>
      <sz val="12"/>
      <color rgb="FF0000FF"/>
      <name val="Bahnschrift Light Condensed"/>
      <family val="2"/>
      <charset val="222"/>
    </font>
    <font>
      <b/>
      <sz val="12"/>
      <name val="Cambria"/>
      <family val="2"/>
      <charset val="222"/>
      <scheme val="major"/>
    </font>
    <font>
      <sz val="10"/>
      <color indexed="8"/>
      <name val="Bahnschrift SemiLight Condensed"/>
      <family val="2"/>
    </font>
    <font>
      <sz val="10"/>
      <color theme="1"/>
      <name val="Bahnschrift SemiLight Condensed"/>
      <family val="2"/>
    </font>
    <font>
      <sz val="9"/>
      <name val="Bahnschrift Light Condensed"/>
      <family val="2"/>
    </font>
    <font>
      <sz val="9"/>
      <color theme="1"/>
      <name val="Bahnschrift Light Condensed"/>
      <family val="2"/>
    </font>
    <font>
      <sz val="9"/>
      <color rgb="FFFF0000"/>
      <name val="Bahnschrift Light Condensed"/>
      <family val="2"/>
    </font>
  </fonts>
  <fills count="3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E5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2C8CDC"/>
        <bgColor indexed="64"/>
      </patternFill>
    </fill>
    <fill>
      <patternFill patternType="solid">
        <fgColor rgb="FF13F51E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8">
    <xf numFmtId="0" fontId="0" fillId="0" borderId="0"/>
    <xf numFmtId="164" fontId="5" fillId="0" borderId="0" applyFont="0" applyFill="0" applyBorder="0" applyAlignment="0" applyProtection="0"/>
    <xf numFmtId="0" fontId="6" fillId="0" borderId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9" fillId="7" borderId="0" applyNumberFormat="0" applyBorder="0" applyAlignment="0" applyProtection="0"/>
    <xf numFmtId="0" fontId="10" fillId="24" borderId="3" applyNumberFormat="0" applyAlignment="0" applyProtection="0"/>
    <xf numFmtId="0" fontId="11" fillId="25" borderId="4" applyNumberFormat="0" applyAlignment="0" applyProtection="0"/>
    <xf numFmtId="0" fontId="12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11" borderId="3" applyNumberFormat="0" applyAlignment="0" applyProtection="0"/>
    <xf numFmtId="0" fontId="18" fillId="0" borderId="8" applyNumberFormat="0" applyFill="0" applyAlignment="0" applyProtection="0"/>
    <xf numFmtId="0" fontId="19" fillId="26" borderId="0" applyNumberFormat="0" applyBorder="0" applyAlignment="0" applyProtection="0"/>
    <xf numFmtId="0" fontId="6" fillId="27" borderId="9" applyNumberFormat="0" applyFont="0" applyAlignment="0" applyProtection="0"/>
    <xf numFmtId="0" fontId="20" fillId="24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1" applyNumberFormat="0" applyFill="0" applyAlignment="0" applyProtection="0"/>
    <xf numFmtId="0" fontId="25" fillId="0" borderId="0"/>
    <xf numFmtId="0" fontId="25" fillId="4" borderId="0" applyNumberFormat="0" applyBorder="0" applyAlignment="0" applyProtection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4" fillId="0" borderId="0"/>
    <xf numFmtId="43" fontId="5" fillId="0" borderId="0" applyFont="0" applyFill="0" applyBorder="0" applyAlignment="0" applyProtection="0"/>
    <xf numFmtId="0" fontId="5" fillId="0" borderId="0"/>
  </cellStyleXfs>
  <cellXfs count="368">
    <xf numFmtId="0" fontId="0" fillId="0" borderId="0" xfId="0"/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/>
    <xf numFmtId="0" fontId="28" fillId="0" borderId="2" xfId="0" applyFont="1" applyBorder="1" applyAlignment="1">
      <alignment horizontal="center"/>
    </xf>
    <xf numFmtId="0" fontId="28" fillId="0" borderId="2" xfId="0" applyFont="1" applyBorder="1" applyAlignment="1">
      <alignment horizontal="left"/>
    </xf>
    <xf numFmtId="0" fontId="28" fillId="0" borderId="2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top" wrapText="1"/>
    </xf>
    <xf numFmtId="164" fontId="28" fillId="0" borderId="2" xfId="1" applyFont="1" applyBorder="1"/>
    <xf numFmtId="0" fontId="30" fillId="0" borderId="2" xfId="0" applyFont="1" applyBorder="1" applyAlignment="1">
      <alignment horizontal="center" vertical="center"/>
    </xf>
    <xf numFmtId="0" fontId="30" fillId="28" borderId="2" xfId="0" applyFont="1" applyFill="1" applyBorder="1"/>
    <xf numFmtId="0" fontId="28" fillId="28" borderId="2" xfId="0" applyFont="1" applyFill="1" applyBorder="1" applyAlignment="1">
      <alignment horizontal="center"/>
    </xf>
    <xf numFmtId="164" fontId="28" fillId="30" borderId="2" xfId="1" applyFont="1" applyFill="1" applyBorder="1" applyAlignment="1">
      <alignment horizontal="center" vertical="center"/>
    </xf>
    <xf numFmtId="0" fontId="28" fillId="30" borderId="2" xfId="0" applyFont="1" applyFill="1" applyBorder="1" applyAlignment="1">
      <alignment horizontal="center" vertical="center"/>
    </xf>
    <xf numFmtId="0" fontId="28" fillId="5" borderId="2" xfId="0" applyFont="1" applyFill="1" applyBorder="1"/>
    <xf numFmtId="0" fontId="28" fillId="29" borderId="2" xfId="0" applyFont="1" applyFill="1" applyBorder="1"/>
    <xf numFmtId="0" fontId="29" fillId="0" borderId="2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left" vertical="center"/>
    </xf>
    <xf numFmtId="0" fontId="29" fillId="0" borderId="2" xfId="0" applyFont="1" applyBorder="1" applyAlignment="1">
      <alignment horizontal="center" vertical="center"/>
    </xf>
    <xf numFmtId="0" fontId="38" fillId="31" borderId="2" xfId="0" applyFont="1" applyFill="1" applyBorder="1" applyAlignment="1">
      <alignment horizontal="center" vertical="center" wrapText="1"/>
    </xf>
    <xf numFmtId="0" fontId="33" fillId="5" borderId="12" xfId="0" quotePrefix="1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/>
    </xf>
    <xf numFmtId="0" fontId="39" fillId="28" borderId="2" xfId="0" applyFont="1" applyFill="1" applyBorder="1" applyAlignment="1">
      <alignment horizontal="center"/>
    </xf>
    <xf numFmtId="164" fontId="41" fillId="0" borderId="2" xfId="1" applyFont="1" applyBorder="1" applyAlignment="1">
      <alignment horizontal="center"/>
    </xf>
    <xf numFmtId="0" fontId="41" fillId="29" borderId="2" xfId="0" applyFont="1" applyFill="1" applyBorder="1" applyAlignment="1">
      <alignment horizontal="center"/>
    </xf>
    <xf numFmtId="0" fontId="41" fillId="5" borderId="2" xfId="0" applyFont="1" applyFill="1" applyBorder="1" applyAlignment="1">
      <alignment horizontal="center"/>
    </xf>
    <xf numFmtId="0" fontId="41" fillId="0" borderId="2" xfId="0" applyFont="1" applyBorder="1" applyAlignment="1">
      <alignment horizontal="center"/>
    </xf>
    <xf numFmtId="0" fontId="41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1" fillId="28" borderId="2" xfId="0" applyFont="1" applyFill="1" applyBorder="1" applyAlignment="1">
      <alignment horizontal="center"/>
    </xf>
    <xf numFmtId="0" fontId="44" fillId="33" borderId="2" xfId="0" applyFont="1" applyFill="1" applyBorder="1" applyAlignment="1">
      <alignment horizontal="center" vertical="center" wrapText="1"/>
    </xf>
    <xf numFmtId="164" fontId="43" fillId="33" borderId="2" xfId="1" applyFont="1" applyFill="1" applyBorder="1" applyAlignment="1">
      <alignment horizontal="center" vertical="center"/>
    </xf>
    <xf numFmtId="0" fontId="43" fillId="30" borderId="2" xfId="0" applyFont="1" applyFill="1" applyBorder="1" applyAlignment="1">
      <alignment horizontal="center" vertical="center"/>
    </xf>
    <xf numFmtId="0" fontId="44" fillId="33" borderId="2" xfId="0" applyFont="1" applyFill="1" applyBorder="1" applyAlignment="1">
      <alignment horizontal="center" vertical="center"/>
    </xf>
    <xf numFmtId="0" fontId="45" fillId="33" borderId="2" xfId="0" applyFont="1" applyFill="1" applyBorder="1" applyAlignment="1">
      <alignment horizontal="center" vertical="center" wrapText="1"/>
    </xf>
    <xf numFmtId="0" fontId="28" fillId="34" borderId="17" xfId="0" applyFont="1" applyFill="1" applyBorder="1" applyAlignment="1">
      <alignment horizontal="center" vertical="center"/>
    </xf>
    <xf numFmtId="0" fontId="28" fillId="34" borderId="17" xfId="0" applyFont="1" applyFill="1" applyBorder="1" applyAlignment="1">
      <alignment horizontal="center" vertical="center" wrapText="1"/>
    </xf>
    <xf numFmtId="0" fontId="38" fillId="35" borderId="17" xfId="0" applyFont="1" applyFill="1" applyBorder="1" applyAlignment="1">
      <alignment horizontal="center" vertical="center" wrapText="1"/>
    </xf>
    <xf numFmtId="0" fontId="29" fillId="34" borderId="17" xfId="0" applyFont="1" applyFill="1" applyBorder="1" applyAlignment="1">
      <alignment horizontal="center" vertical="center"/>
    </xf>
    <xf numFmtId="0" fontId="29" fillId="34" borderId="17" xfId="0" applyFont="1" applyFill="1" applyBorder="1" applyAlignment="1">
      <alignment horizontal="center" vertical="center" wrapText="1"/>
    </xf>
    <xf numFmtId="0" fontId="31" fillId="34" borderId="17" xfId="0" applyFont="1" applyFill="1" applyBorder="1" applyAlignment="1">
      <alignment horizontal="left" vertical="center" wrapText="1"/>
    </xf>
    <xf numFmtId="0" fontId="29" fillId="34" borderId="17" xfId="0" applyFont="1" applyFill="1" applyBorder="1" applyAlignment="1">
      <alignment horizontal="left" vertical="center"/>
    </xf>
    <xf numFmtId="164" fontId="28" fillId="34" borderId="17" xfId="1" applyFont="1" applyFill="1" applyBorder="1" applyAlignment="1">
      <alignment horizontal="center" vertical="center"/>
    </xf>
    <xf numFmtId="0" fontId="28" fillId="34" borderId="2" xfId="0" applyFont="1" applyFill="1" applyBorder="1" applyAlignment="1">
      <alignment horizontal="center" vertical="center"/>
    </xf>
    <xf numFmtId="0" fontId="29" fillId="5" borderId="19" xfId="0" applyFont="1" applyFill="1" applyBorder="1" applyAlignment="1">
      <alignment horizontal="center" vertical="top"/>
    </xf>
    <xf numFmtId="0" fontId="28" fillId="0" borderId="20" xfId="0" applyFont="1" applyBorder="1" applyAlignment="1">
      <alignment horizontal="left"/>
    </xf>
    <xf numFmtId="0" fontId="29" fillId="5" borderId="20" xfId="0" applyFont="1" applyFill="1" applyBorder="1" applyAlignment="1">
      <alignment horizontal="center" vertical="top"/>
    </xf>
    <xf numFmtId="167" fontId="29" fillId="5" borderId="20" xfId="66" applyNumberFormat="1" applyFont="1" applyFill="1" applyBorder="1" applyAlignment="1">
      <alignment horizontal="center" vertical="top"/>
    </xf>
    <xf numFmtId="0" fontId="28" fillId="0" borderId="20" xfId="0" applyFont="1" applyBorder="1" applyAlignment="1">
      <alignment horizontal="center"/>
    </xf>
    <xf numFmtId="0" fontId="29" fillId="5" borderId="20" xfId="0" applyFont="1" applyFill="1" applyBorder="1" applyAlignment="1">
      <alignment horizontal="left" vertical="top"/>
    </xf>
    <xf numFmtId="0" fontId="28" fillId="0" borderId="20" xfId="0" applyFont="1" applyBorder="1" applyAlignment="1">
      <alignment horizontal="left" vertical="center" wrapText="1"/>
    </xf>
    <xf numFmtId="0" fontId="28" fillId="0" borderId="20" xfId="0" quotePrefix="1" applyFont="1" applyBorder="1" applyAlignment="1">
      <alignment horizontal="left" vertical="center"/>
    </xf>
    <xf numFmtId="0" fontId="28" fillId="0" borderId="20" xfId="0" applyFont="1" applyBorder="1" applyAlignment="1">
      <alignment horizontal="center" vertical="center"/>
    </xf>
    <xf numFmtId="0" fontId="27" fillId="0" borderId="20" xfId="64" applyBorder="1" applyAlignment="1">
      <alignment horizontal="left" vertical="top" wrapText="1"/>
    </xf>
    <xf numFmtId="164" fontId="28" fillId="0" borderId="20" xfId="1" applyFont="1" applyBorder="1"/>
    <xf numFmtId="0" fontId="28" fillId="5" borderId="21" xfId="0" applyFont="1" applyFill="1" applyBorder="1"/>
    <xf numFmtId="0" fontId="28" fillId="5" borderId="22" xfId="0" applyFont="1" applyFill="1" applyBorder="1"/>
    <xf numFmtId="0" fontId="29" fillId="5" borderId="23" xfId="0" applyFont="1" applyFill="1" applyBorder="1" applyAlignment="1">
      <alignment horizontal="center" vertical="top"/>
    </xf>
    <xf numFmtId="0" fontId="28" fillId="0" borderId="2" xfId="0" applyFont="1" applyBorder="1" applyAlignment="1">
      <alignment horizontal="left" wrapText="1"/>
    </xf>
    <xf numFmtId="0" fontId="29" fillId="5" borderId="2" xfId="0" applyFont="1" applyFill="1" applyBorder="1" applyAlignment="1">
      <alignment horizontal="center" vertical="top"/>
    </xf>
    <xf numFmtId="167" fontId="29" fillId="5" borderId="2" xfId="66" applyNumberFormat="1" applyFont="1" applyFill="1" applyBorder="1" applyAlignment="1">
      <alignment horizontal="center" vertical="top"/>
    </xf>
    <xf numFmtId="0" fontId="29" fillId="5" borderId="2" xfId="0" applyFont="1" applyFill="1" applyBorder="1" applyAlignment="1">
      <alignment horizontal="left" vertical="top"/>
    </xf>
    <xf numFmtId="0" fontId="27" fillId="0" borderId="2" xfId="64" applyBorder="1" applyAlignment="1">
      <alignment horizontal="left" vertical="top" wrapText="1"/>
    </xf>
    <xf numFmtId="0" fontId="28" fillId="5" borderId="24" xfId="0" applyFont="1" applyFill="1" applyBorder="1"/>
    <xf numFmtId="0" fontId="28" fillId="5" borderId="2" xfId="0" applyFont="1" applyFill="1" applyBorder="1" applyAlignment="1">
      <alignment horizontal="left"/>
    </xf>
    <xf numFmtId="0" fontId="28" fillId="5" borderId="2" xfId="0" applyFont="1" applyFill="1" applyBorder="1" applyAlignment="1">
      <alignment horizontal="center"/>
    </xf>
    <xf numFmtId="0" fontId="28" fillId="5" borderId="2" xfId="0" applyFont="1" applyFill="1" applyBorder="1" applyAlignment="1">
      <alignment horizontal="left" vertical="center"/>
    </xf>
    <xf numFmtId="0" fontId="28" fillId="5" borderId="2" xfId="0" applyFont="1" applyFill="1" applyBorder="1" applyAlignment="1">
      <alignment horizontal="center" vertical="center"/>
    </xf>
    <xf numFmtId="0" fontId="27" fillId="5" borderId="2" xfId="64" applyFill="1" applyBorder="1" applyAlignment="1">
      <alignment horizontal="left" vertical="top" wrapText="1"/>
    </xf>
    <xf numFmtId="164" fontId="28" fillId="5" borderId="2" xfId="1" applyFont="1" applyFill="1" applyBorder="1"/>
    <xf numFmtId="0" fontId="29" fillId="0" borderId="2" xfId="64" applyFont="1" applyBorder="1" applyAlignment="1">
      <alignment horizontal="left" vertical="top" wrapText="1"/>
    </xf>
    <xf numFmtId="0" fontId="29" fillId="5" borderId="2" xfId="0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left" vertical="center"/>
    </xf>
    <xf numFmtId="0" fontId="27" fillId="0" borderId="2" xfId="64" applyBorder="1" applyAlignment="1" applyProtection="1">
      <alignment horizontal="left" vertical="center" wrapText="1"/>
    </xf>
    <xf numFmtId="164" fontId="28" fillId="0" borderId="2" xfId="1" applyFont="1" applyBorder="1" applyAlignment="1">
      <alignment horizontal="left" vertical="center"/>
    </xf>
    <xf numFmtId="0" fontId="28" fillId="5" borderId="24" xfId="0" applyFont="1" applyFill="1" applyBorder="1" applyAlignment="1">
      <alignment horizontal="left" vertical="center"/>
    </xf>
    <xf numFmtId="0" fontId="29" fillId="0" borderId="2" xfId="64" applyFont="1" applyBorder="1" applyAlignment="1" applyProtection="1">
      <alignment horizontal="left" vertical="center"/>
    </xf>
    <xf numFmtId="0" fontId="46" fillId="0" borderId="2" xfId="64" applyFont="1" applyBorder="1" applyAlignment="1" applyProtection="1">
      <alignment horizontal="left" vertical="center"/>
    </xf>
    <xf numFmtId="0" fontId="29" fillId="0" borderId="14" xfId="0" applyFont="1" applyBorder="1" applyAlignment="1">
      <alignment horizontal="left" vertical="center"/>
    </xf>
    <xf numFmtId="0" fontId="29" fillId="5" borderId="17" xfId="0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9" fillId="0" borderId="17" xfId="0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/>
    </xf>
    <xf numFmtId="0" fontId="27" fillId="0" borderId="17" xfId="64" applyBorder="1" applyAlignment="1" applyProtection="1">
      <alignment horizontal="left" vertical="center"/>
    </xf>
    <xf numFmtId="164" fontId="28" fillId="0" borderId="17" xfId="1" applyFont="1" applyBorder="1" applyAlignment="1">
      <alignment horizontal="left" vertical="center"/>
    </xf>
    <xf numFmtId="0" fontId="28" fillId="5" borderId="25" xfId="0" applyFont="1" applyFill="1" applyBorder="1" applyAlignment="1">
      <alignment horizontal="left" vertical="center"/>
    </xf>
    <xf numFmtId="0" fontId="28" fillId="5" borderId="13" xfId="0" applyFont="1" applyFill="1" applyBorder="1"/>
    <xf numFmtId="0" fontId="29" fillId="0" borderId="17" xfId="0" applyFont="1" applyBorder="1" applyAlignment="1">
      <alignment horizontal="left" vertical="center" wrapText="1"/>
    </xf>
    <xf numFmtId="167" fontId="29" fillId="5" borderId="17" xfId="66" applyNumberFormat="1" applyFont="1" applyFill="1" applyBorder="1" applyAlignment="1">
      <alignment horizontal="center" vertical="top"/>
    </xf>
    <xf numFmtId="0" fontId="46" fillId="0" borderId="17" xfId="64" applyFont="1" applyBorder="1" applyAlignment="1" applyProtection="1">
      <alignment horizontal="left" vertical="center"/>
    </xf>
    <xf numFmtId="0" fontId="29" fillId="5" borderId="17" xfId="0" applyFont="1" applyFill="1" applyBorder="1" applyAlignment="1">
      <alignment horizontal="left" vertical="center"/>
    </xf>
    <xf numFmtId="0" fontId="29" fillId="5" borderId="26" xfId="0" applyFont="1" applyFill="1" applyBorder="1" applyAlignment="1">
      <alignment horizontal="center" vertical="top"/>
    </xf>
    <xf numFmtId="0" fontId="29" fillId="0" borderId="27" xfId="0" applyFont="1" applyBorder="1" applyAlignment="1">
      <alignment horizontal="left" vertical="center"/>
    </xf>
    <xf numFmtId="0" fontId="29" fillId="5" borderId="27" xfId="0" applyFont="1" applyFill="1" applyBorder="1" applyAlignment="1">
      <alignment horizontal="center" vertical="center"/>
    </xf>
    <xf numFmtId="167" fontId="29" fillId="5" borderId="27" xfId="66" applyNumberFormat="1" applyFont="1" applyFill="1" applyBorder="1" applyAlignment="1">
      <alignment horizontal="center" vertical="top"/>
    </xf>
    <xf numFmtId="0" fontId="28" fillId="0" borderId="27" xfId="0" applyFont="1" applyBorder="1" applyAlignment="1">
      <alignment horizontal="center" vertical="center"/>
    </xf>
    <xf numFmtId="0" fontId="29" fillId="5" borderId="27" xfId="0" applyFont="1" applyFill="1" applyBorder="1" applyAlignment="1">
      <alignment horizontal="left" vertical="center"/>
    </xf>
    <xf numFmtId="0" fontId="28" fillId="0" borderId="27" xfId="0" applyFont="1" applyBorder="1" applyAlignment="1">
      <alignment horizontal="left" vertical="center"/>
    </xf>
    <xf numFmtId="0" fontId="46" fillId="0" borderId="27" xfId="64" applyFont="1" applyBorder="1" applyAlignment="1" applyProtection="1">
      <alignment horizontal="left" vertical="center"/>
    </xf>
    <xf numFmtId="164" fontId="28" fillId="0" borderId="27" xfId="1" applyFont="1" applyBorder="1" applyAlignment="1">
      <alignment horizontal="left" vertical="center"/>
    </xf>
    <xf numFmtId="0" fontId="28" fillId="5" borderId="28" xfId="0" applyFont="1" applyFill="1" applyBorder="1" applyAlignment="1">
      <alignment horizontal="left" vertical="center"/>
    </xf>
    <xf numFmtId="0" fontId="29" fillId="0" borderId="20" xfId="0" applyFont="1" applyBorder="1" applyAlignment="1">
      <alignment horizontal="left" vertical="center"/>
    </xf>
    <xf numFmtId="0" fontId="29" fillId="5" borderId="20" xfId="0" applyFont="1" applyFill="1" applyBorder="1" applyAlignment="1">
      <alignment horizontal="center" vertical="center"/>
    </xf>
    <xf numFmtId="0" fontId="29" fillId="5" borderId="20" xfId="0" applyFont="1" applyFill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46" fillId="0" borderId="20" xfId="64" applyFont="1" applyBorder="1" applyAlignment="1" applyProtection="1">
      <alignment horizontal="left" vertical="center"/>
    </xf>
    <xf numFmtId="164" fontId="28" fillId="0" borderId="20" xfId="1" applyFont="1" applyBorder="1" applyAlignment="1">
      <alignment horizontal="left" vertical="center"/>
    </xf>
    <xf numFmtId="0" fontId="28" fillId="5" borderId="21" xfId="0" applyFont="1" applyFill="1" applyBorder="1" applyAlignment="1">
      <alignment horizontal="left" vertical="center"/>
    </xf>
    <xf numFmtId="0" fontId="31" fillId="5" borderId="2" xfId="0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left" vertical="center" wrapText="1"/>
    </xf>
    <xf numFmtId="164" fontId="28" fillId="5" borderId="2" xfId="1" applyFont="1" applyFill="1" applyBorder="1" applyAlignment="1">
      <alignment horizontal="left" vertical="center"/>
    </xf>
    <xf numFmtId="0" fontId="29" fillId="5" borderId="29" xfId="0" applyFont="1" applyFill="1" applyBorder="1" applyAlignment="1">
      <alignment horizontal="center" vertical="top"/>
    </xf>
    <xf numFmtId="0" fontId="31" fillId="5" borderId="17" xfId="0" applyFont="1" applyFill="1" applyBorder="1" applyAlignment="1">
      <alignment horizontal="center" vertical="center"/>
    </xf>
    <xf numFmtId="0" fontId="28" fillId="5" borderId="17" xfId="0" applyFont="1" applyFill="1" applyBorder="1" applyAlignment="1">
      <alignment horizontal="center" vertical="center"/>
    </xf>
    <xf numFmtId="0" fontId="29" fillId="5" borderId="17" xfId="0" applyFont="1" applyFill="1" applyBorder="1" applyAlignment="1">
      <alignment horizontal="left" vertical="center" wrapText="1"/>
    </xf>
    <xf numFmtId="0" fontId="28" fillId="5" borderId="17" xfId="0" applyFont="1" applyFill="1" applyBorder="1" applyAlignment="1">
      <alignment horizontal="left" vertical="center"/>
    </xf>
    <xf numFmtId="164" fontId="28" fillId="5" borderId="17" xfId="1" applyFont="1" applyFill="1" applyBorder="1" applyAlignment="1">
      <alignment horizontal="left" vertical="center"/>
    </xf>
    <xf numFmtId="0" fontId="28" fillId="5" borderId="30" xfId="0" applyFont="1" applyFill="1" applyBorder="1" applyAlignment="1">
      <alignment horizontal="left" vertical="center"/>
    </xf>
    <xf numFmtId="0" fontId="31" fillId="5" borderId="27" xfId="0" applyFont="1" applyFill="1" applyBorder="1" applyAlignment="1">
      <alignment horizontal="center" vertical="center"/>
    </xf>
    <xf numFmtId="0" fontId="28" fillId="5" borderId="27" xfId="0" applyFont="1" applyFill="1" applyBorder="1" applyAlignment="1">
      <alignment horizontal="center" vertical="center"/>
    </xf>
    <xf numFmtId="0" fontId="29" fillId="5" borderId="27" xfId="0" applyFont="1" applyFill="1" applyBorder="1" applyAlignment="1">
      <alignment horizontal="left" vertical="center" wrapText="1"/>
    </xf>
    <xf numFmtId="0" fontId="28" fillId="5" borderId="27" xfId="0" applyFont="1" applyFill="1" applyBorder="1" applyAlignment="1">
      <alignment horizontal="left" vertical="center"/>
    </xf>
    <xf numFmtId="164" fontId="28" fillId="5" borderId="27" xfId="1" applyFont="1" applyFill="1" applyBorder="1" applyAlignment="1">
      <alignment horizontal="left" vertical="center"/>
    </xf>
    <xf numFmtId="0" fontId="46" fillId="5" borderId="2" xfId="64" applyFont="1" applyFill="1" applyBorder="1" applyAlignment="1" applyProtection="1">
      <alignment horizontal="left" vertical="center"/>
    </xf>
    <xf numFmtId="0" fontId="29" fillId="5" borderId="24" xfId="0" applyFont="1" applyFill="1" applyBorder="1"/>
    <xf numFmtId="0" fontId="29" fillId="0" borderId="24" xfId="0" applyFont="1" applyBorder="1"/>
    <xf numFmtId="0" fontId="29" fillId="0" borderId="30" xfId="0" applyFont="1" applyBorder="1"/>
    <xf numFmtId="0" fontId="28" fillId="5" borderId="24" xfId="0" applyFont="1" applyFill="1" applyBorder="1" applyAlignment="1">
      <alignment horizontal="left" vertical="top"/>
    </xf>
    <xf numFmtId="0" fontId="28" fillId="0" borderId="17" xfId="0" applyFont="1" applyBorder="1" applyAlignment="1">
      <alignment horizontal="left" vertical="center" wrapText="1"/>
    </xf>
    <xf numFmtId="164" fontId="28" fillId="0" borderId="17" xfId="1" applyFont="1" applyBorder="1"/>
    <xf numFmtId="0" fontId="28" fillId="5" borderId="30" xfId="0" applyFont="1" applyFill="1" applyBorder="1"/>
    <xf numFmtId="0" fontId="48" fillId="32" borderId="2" xfId="0" applyFont="1" applyFill="1" applyBorder="1" applyAlignment="1">
      <alignment vertical="center"/>
    </xf>
    <xf numFmtId="0" fontId="48" fillId="32" borderId="2" xfId="0" applyFont="1" applyFill="1" applyBorder="1" applyAlignment="1">
      <alignment horizontal="center" vertical="center"/>
    </xf>
    <xf numFmtId="0" fontId="31" fillId="32" borderId="2" xfId="0" applyFont="1" applyFill="1" applyBorder="1"/>
    <xf numFmtId="166" fontId="28" fillId="5" borderId="2" xfId="1" applyNumberFormat="1" applyFont="1" applyFill="1" applyBorder="1"/>
    <xf numFmtId="166" fontId="50" fillId="5" borderId="2" xfId="1" applyNumberFormat="1" applyFont="1" applyFill="1" applyBorder="1"/>
    <xf numFmtId="0" fontId="51" fillId="0" borderId="2" xfId="0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/>
    </xf>
    <xf numFmtId="166" fontId="52" fillId="5" borderId="2" xfId="1" applyNumberFormat="1" applyFont="1" applyFill="1" applyBorder="1" applyAlignment="1">
      <alignment vertical="center"/>
    </xf>
    <xf numFmtId="0" fontId="28" fillId="0" borderId="2" xfId="0" applyFont="1" applyBorder="1" applyAlignment="1">
      <alignment wrapText="1"/>
    </xf>
    <xf numFmtId="0" fontId="30" fillId="0" borderId="2" xfId="0" applyFont="1" applyBorder="1" applyAlignment="1">
      <alignment wrapText="1"/>
    </xf>
    <xf numFmtId="0" fontId="55" fillId="0" borderId="2" xfId="0" applyFont="1" applyBorder="1" applyAlignment="1">
      <alignment horizontal="center" vertical="center" wrapText="1"/>
    </xf>
    <xf numFmtId="0" fontId="29" fillId="30" borderId="2" xfId="0" applyFont="1" applyFill="1" applyBorder="1" applyAlignment="1">
      <alignment horizontal="center" vertical="center" wrapText="1"/>
    </xf>
    <xf numFmtId="0" fontId="56" fillId="30" borderId="2" xfId="0" applyFont="1" applyFill="1" applyBorder="1" applyAlignment="1">
      <alignment horizontal="left" vertical="center" wrapText="1"/>
    </xf>
    <xf numFmtId="0" fontId="29" fillId="30" borderId="2" xfId="0" applyFont="1" applyFill="1" applyBorder="1" applyAlignment="1">
      <alignment horizontal="left" vertical="center"/>
    </xf>
    <xf numFmtId="0" fontId="29" fillId="30" borderId="2" xfId="0" applyFont="1" applyFill="1" applyBorder="1" applyAlignment="1">
      <alignment horizontal="center" vertical="center"/>
    </xf>
    <xf numFmtId="0" fontId="55" fillId="0" borderId="2" xfId="0" applyFont="1" applyBorder="1" applyAlignment="1">
      <alignment vertical="center"/>
    </xf>
    <xf numFmtId="0" fontId="55" fillId="0" borderId="2" xfId="0" applyFont="1" applyBorder="1" applyAlignment="1">
      <alignment vertical="center" wrapText="1"/>
    </xf>
    <xf numFmtId="0" fontId="55" fillId="0" borderId="2" xfId="0" applyFont="1" applyBorder="1" applyAlignment="1">
      <alignment horizontal="left" vertical="center"/>
    </xf>
    <xf numFmtId="0" fontId="32" fillId="0" borderId="2" xfId="0" applyFont="1" applyBorder="1" applyAlignment="1">
      <alignment horizontal="center" vertical="top"/>
    </xf>
    <xf numFmtId="0" fontId="57" fillId="0" borderId="2" xfId="0" applyFont="1" applyBorder="1" applyAlignment="1">
      <alignment horizontal="left" wrapText="1"/>
    </xf>
    <xf numFmtId="0" fontId="57" fillId="0" borderId="2" xfId="0" applyFont="1" applyBorder="1" applyAlignment="1">
      <alignment horizontal="center"/>
    </xf>
    <xf numFmtId="166" fontId="57" fillId="0" borderId="2" xfId="1" applyNumberFormat="1" applyFont="1" applyFill="1" applyBorder="1" applyAlignment="1">
      <alignment horizontal="center" vertical="center"/>
    </xf>
    <xf numFmtId="167" fontId="32" fillId="0" borderId="2" xfId="66" applyNumberFormat="1" applyFont="1" applyFill="1" applyBorder="1" applyAlignment="1">
      <alignment horizontal="center" vertical="center"/>
    </xf>
    <xf numFmtId="0" fontId="57" fillId="0" borderId="2" xfId="0" applyFont="1" applyBorder="1" applyAlignment="1">
      <alignment horizontal="left"/>
    </xf>
    <xf numFmtId="0" fontId="57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left" vertical="center"/>
    </xf>
    <xf numFmtId="0" fontId="57" fillId="0" borderId="2" xfId="0" applyFont="1" applyBorder="1" applyAlignment="1">
      <alignment horizontal="center" vertical="center" wrapText="1"/>
    </xf>
    <xf numFmtId="49" fontId="57" fillId="0" borderId="2" xfId="0" applyNumberFormat="1" applyFont="1" applyBorder="1" applyAlignment="1">
      <alignment horizontal="left" vertical="center"/>
    </xf>
    <xf numFmtId="0" fontId="58" fillId="0" borderId="2" xfId="64" applyFont="1" applyFill="1" applyBorder="1" applyAlignment="1">
      <alignment horizontal="left" vertical="top" wrapText="1"/>
    </xf>
    <xf numFmtId="164" fontId="57" fillId="0" borderId="2" xfId="1" applyFont="1" applyFill="1" applyBorder="1"/>
    <xf numFmtId="0" fontId="57" fillId="0" borderId="2" xfId="0" applyFont="1" applyBorder="1"/>
    <xf numFmtId="0" fontId="59" fillId="0" borderId="2" xfId="64" applyFont="1" applyFill="1" applyBorder="1" applyAlignment="1">
      <alignment horizontal="left" vertical="top" wrapText="1"/>
    </xf>
    <xf numFmtId="0" fontId="32" fillId="0" borderId="2" xfId="0" applyFont="1" applyBorder="1" applyAlignment="1">
      <alignment vertical="center" wrapText="1"/>
    </xf>
    <xf numFmtId="0" fontId="57" fillId="0" borderId="2" xfId="0" applyFont="1" applyBorder="1" applyAlignment="1">
      <alignment horizontal="left" vertical="center"/>
    </xf>
    <xf numFmtId="0" fontId="32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vertical="center"/>
    </xf>
    <xf numFmtId="164" fontId="57" fillId="0" borderId="2" xfId="1" applyFont="1" applyFill="1" applyBorder="1" applyAlignment="1">
      <alignment horizontal="left" vertical="center"/>
    </xf>
    <xf numFmtId="0" fontId="32" fillId="0" borderId="2" xfId="0" applyFont="1" applyBorder="1"/>
    <xf numFmtId="0" fontId="55" fillId="0" borderId="2" xfId="0" applyFont="1" applyBorder="1"/>
    <xf numFmtId="0" fontId="55" fillId="0" borderId="2" xfId="0" applyFont="1" applyBorder="1" applyAlignment="1">
      <alignment horizontal="center" vertical="center"/>
    </xf>
    <xf numFmtId="0" fontId="57" fillId="0" borderId="2" xfId="0" applyFont="1" applyBorder="1" applyAlignment="1">
      <alignment vertical="center" wrapText="1"/>
    </xf>
    <xf numFmtId="43" fontId="32" fillId="0" borderId="2" xfId="66" applyFont="1" applyFill="1" applyBorder="1" applyAlignment="1">
      <alignment horizontal="center" vertical="center"/>
    </xf>
    <xf numFmtId="49" fontId="55" fillId="0" borderId="2" xfId="0" applyNumberFormat="1" applyFont="1" applyBorder="1" applyAlignment="1">
      <alignment vertical="center"/>
    </xf>
    <xf numFmtId="49" fontId="57" fillId="0" borderId="2" xfId="0" applyNumberFormat="1" applyFont="1" applyBorder="1" applyAlignment="1">
      <alignment horizontal="left" vertical="center" wrapText="1"/>
    </xf>
    <xf numFmtId="0" fontId="57" fillId="0" borderId="2" xfId="0" applyFont="1" applyBorder="1" applyAlignment="1">
      <alignment horizontal="left" vertical="center" wrapText="1"/>
    </xf>
    <xf numFmtId="49" fontId="57" fillId="0" borderId="2" xfId="0" applyNumberFormat="1" applyFont="1" applyBorder="1" applyAlignment="1">
      <alignment vertical="center" wrapText="1"/>
    </xf>
    <xf numFmtId="0" fontId="32" fillId="0" borderId="2" xfId="0" applyFont="1" applyBorder="1" applyAlignment="1">
      <alignment horizontal="left" vertical="center" wrapText="1"/>
    </xf>
    <xf numFmtId="0" fontId="60" fillId="0" borderId="2" xfId="64" applyFont="1" applyFill="1" applyBorder="1" applyAlignment="1" applyProtection="1">
      <alignment horizontal="left" vertical="center"/>
    </xf>
    <xf numFmtId="0" fontId="61" fillId="0" borderId="2" xfId="0" applyFont="1" applyBorder="1" applyAlignment="1">
      <alignment vertical="center"/>
    </xf>
    <xf numFmtId="49" fontId="61" fillId="0" borderId="2" xfId="0" applyNumberFormat="1" applyFont="1" applyBorder="1" applyAlignment="1">
      <alignment horizontal="left" vertical="center"/>
    </xf>
    <xf numFmtId="49" fontId="32" fillId="0" borderId="2" xfId="0" applyNumberFormat="1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62" fillId="0" borderId="2" xfId="0" applyFont="1" applyBorder="1" applyAlignment="1">
      <alignment horizontal="left" vertical="center" wrapText="1"/>
    </xf>
    <xf numFmtId="0" fontId="62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29" fillId="0" borderId="2" xfId="0" quotePrefix="1" applyFont="1" applyBorder="1" applyAlignment="1">
      <alignment horizontal="center" vertical="center"/>
    </xf>
    <xf numFmtId="166" fontId="28" fillId="0" borderId="2" xfId="1" applyNumberFormat="1" applyFont="1" applyBorder="1" applyAlignment="1">
      <alignment horizontal="center" vertical="center"/>
    </xf>
    <xf numFmtId="166" fontId="28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64" fillId="5" borderId="12" xfId="0" quotePrefix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5" borderId="34" xfId="0" applyFont="1" applyFill="1" applyBorder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64" fillId="0" borderId="2" xfId="0" applyFont="1" applyBorder="1" applyAlignment="1">
      <alignment horizontal="left" vertical="center"/>
    </xf>
    <xf numFmtId="0" fontId="28" fillId="5" borderId="2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7" fillId="0" borderId="2" xfId="64" applyBorder="1" applyAlignment="1">
      <alignment horizontal="left" vertical="center" wrapText="1"/>
    </xf>
    <xf numFmtId="0" fontId="29" fillId="0" borderId="2" xfId="0" applyFont="1" applyBorder="1" applyAlignment="1">
      <alignment horizontal="center" vertical="center" wrapText="1"/>
    </xf>
    <xf numFmtId="164" fontId="29" fillId="0" borderId="2" xfId="1" applyFont="1" applyBorder="1" applyAlignment="1">
      <alignment horizontal="center" vertical="center"/>
    </xf>
    <xf numFmtId="0" fontId="36" fillId="0" borderId="2" xfId="64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164" fontId="28" fillId="0" borderId="2" xfId="1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 wrapText="1"/>
    </xf>
    <xf numFmtId="0" fontId="28" fillId="0" borderId="20" xfId="0" quotePrefix="1" applyFont="1" applyBorder="1" applyAlignment="1">
      <alignment horizontal="center" vertical="center"/>
    </xf>
    <xf numFmtId="0" fontId="27" fillId="0" borderId="20" xfId="64" applyBorder="1" applyAlignment="1">
      <alignment horizontal="center" vertical="center" wrapText="1"/>
    </xf>
    <xf numFmtId="164" fontId="28" fillId="0" borderId="0" xfId="1" applyFont="1" applyBorder="1" applyAlignment="1">
      <alignment horizontal="center" vertical="center"/>
    </xf>
    <xf numFmtId="165" fontId="28" fillId="5" borderId="0" xfId="0" applyNumberFormat="1" applyFont="1" applyFill="1" applyAlignment="1">
      <alignment horizontal="center" vertical="center"/>
    </xf>
    <xf numFmtId="0" fontId="29" fillId="5" borderId="23" xfId="0" applyFont="1" applyFill="1" applyBorder="1" applyAlignment="1">
      <alignment horizontal="center" vertical="center"/>
    </xf>
    <xf numFmtId="0" fontId="27" fillId="0" borderId="2" xfId="64" applyBorder="1" applyAlignment="1">
      <alignment horizontal="center" vertical="center" wrapText="1"/>
    </xf>
    <xf numFmtId="0" fontId="27" fillId="5" borderId="2" xfId="64" applyFill="1" applyBorder="1" applyAlignment="1">
      <alignment horizontal="center" vertical="center" wrapText="1"/>
    </xf>
    <xf numFmtId="0" fontId="29" fillId="0" borderId="2" xfId="64" applyFont="1" applyBorder="1" applyAlignment="1">
      <alignment horizontal="center" vertical="center" wrapText="1"/>
    </xf>
    <xf numFmtId="0" fontId="27" fillId="0" borderId="2" xfId="64" applyBorder="1" applyAlignment="1" applyProtection="1">
      <alignment horizontal="center" vertical="center" wrapText="1"/>
    </xf>
    <xf numFmtId="0" fontId="29" fillId="0" borderId="2" xfId="64" applyFont="1" applyBorder="1" applyAlignment="1" applyProtection="1">
      <alignment horizontal="center" vertical="center"/>
    </xf>
    <xf numFmtId="0" fontId="46" fillId="0" borderId="2" xfId="64" applyFont="1" applyBorder="1" applyAlignment="1" applyProtection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7" fillId="0" borderId="17" xfId="64" applyBorder="1" applyAlignment="1" applyProtection="1">
      <alignment horizontal="center" vertical="center"/>
    </xf>
    <xf numFmtId="0" fontId="29" fillId="0" borderId="17" xfId="0" applyFont="1" applyBorder="1" applyAlignment="1">
      <alignment horizontal="center" vertical="center" wrapText="1"/>
    </xf>
    <xf numFmtId="0" fontId="46" fillId="0" borderId="17" xfId="64" applyFont="1" applyBorder="1" applyAlignment="1" applyProtection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wrapText="1"/>
    </xf>
    <xf numFmtId="0" fontId="28" fillId="5" borderId="20" xfId="0" applyFont="1" applyFill="1" applyBorder="1" applyAlignment="1">
      <alignment horizontal="left" vertical="center"/>
    </xf>
    <xf numFmtId="0" fontId="29" fillId="5" borderId="29" xfId="0" applyFont="1" applyFill="1" applyBorder="1" applyAlignment="1">
      <alignment horizontal="center" vertical="center"/>
    </xf>
    <xf numFmtId="167" fontId="29" fillId="5" borderId="2" xfId="66" applyNumberFormat="1" applyFont="1" applyFill="1" applyBorder="1" applyAlignment="1">
      <alignment horizontal="center" vertical="center"/>
    </xf>
    <xf numFmtId="167" fontId="29" fillId="5" borderId="17" xfId="66" applyNumberFormat="1" applyFont="1" applyFill="1" applyBorder="1" applyAlignment="1">
      <alignment horizontal="center" vertical="center"/>
    </xf>
    <xf numFmtId="0" fontId="47" fillId="0" borderId="2" xfId="0" applyFont="1" applyBorder="1" applyAlignment="1">
      <alignment horizontal="left" vertical="center"/>
    </xf>
    <xf numFmtId="0" fontId="27" fillId="0" borderId="17" xfId="64" applyBorder="1" applyAlignment="1">
      <alignment horizontal="left" vertical="center" wrapText="1"/>
    </xf>
    <xf numFmtId="0" fontId="28" fillId="5" borderId="31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58" fillId="0" borderId="2" xfId="64" applyFont="1" applyFill="1" applyBorder="1" applyAlignment="1">
      <alignment horizontal="left" vertical="center" wrapText="1"/>
    </xf>
    <xf numFmtId="164" fontId="57" fillId="0" borderId="2" xfId="1" applyFont="1" applyFill="1" applyBorder="1" applyAlignment="1">
      <alignment vertical="center"/>
    </xf>
    <xf numFmtId="0" fontId="57" fillId="0" borderId="2" xfId="0" applyFont="1" applyBorder="1" applyAlignment="1">
      <alignment vertical="center"/>
    </xf>
    <xf numFmtId="166" fontId="57" fillId="0" borderId="2" xfId="1" applyNumberFormat="1" applyFont="1" applyFill="1" applyBorder="1" applyAlignment="1">
      <alignment vertical="center"/>
    </xf>
    <xf numFmtId="0" fontId="55" fillId="0" borderId="2" xfId="0" applyFont="1" applyBorder="1" applyAlignment="1">
      <alignment horizontal="left" vertical="center" wrapText="1"/>
    </xf>
    <xf numFmtId="0" fontId="60" fillId="0" borderId="2" xfId="64" applyFont="1" applyFill="1" applyBorder="1" applyAlignment="1">
      <alignment horizontal="left" vertical="center" wrapText="1"/>
    </xf>
    <xf numFmtId="164" fontId="57" fillId="0" borderId="2" xfId="1" applyFont="1" applyBorder="1" applyAlignment="1">
      <alignment vertical="center"/>
    </xf>
    <xf numFmtId="0" fontId="57" fillId="5" borderId="2" xfId="0" applyFont="1" applyFill="1" applyBorder="1" applyAlignment="1">
      <alignment vertical="center"/>
    </xf>
    <xf numFmtId="0" fontId="62" fillId="0" borderId="2" xfId="0" applyFont="1" applyBorder="1" applyAlignment="1">
      <alignment vertical="center"/>
    </xf>
    <xf numFmtId="0" fontId="63" fillId="0" borderId="2" xfId="0" applyFont="1" applyBorder="1" applyAlignment="1">
      <alignment horizontal="left" vertical="center" wrapText="1"/>
    </xf>
    <xf numFmtId="164" fontId="62" fillId="0" borderId="2" xfId="1" applyFont="1" applyBorder="1" applyAlignment="1">
      <alignment vertical="center"/>
    </xf>
    <xf numFmtId="0" fontId="62" fillId="5" borderId="2" xfId="0" applyFont="1" applyFill="1" applyBorder="1" applyAlignment="1">
      <alignment vertical="center"/>
    </xf>
    <xf numFmtId="0" fontId="3" fillId="0" borderId="3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7" fillId="5" borderId="0" xfId="0" applyFont="1" applyFill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73" fillId="5" borderId="15" xfId="0" applyFont="1" applyFill="1" applyBorder="1" applyAlignment="1">
      <alignment horizontal="left" vertical="center"/>
    </xf>
    <xf numFmtId="0" fontId="74" fillId="0" borderId="15" xfId="0" applyFont="1" applyBorder="1" applyAlignment="1">
      <alignment horizontal="center" vertical="center"/>
    </xf>
    <xf numFmtId="0" fontId="73" fillId="5" borderId="15" xfId="0" applyFont="1" applyFill="1" applyBorder="1" applyAlignment="1">
      <alignment horizontal="center" vertical="center"/>
    </xf>
    <xf numFmtId="0" fontId="74" fillId="5" borderId="15" xfId="0" applyFont="1" applyFill="1" applyBorder="1" applyAlignment="1">
      <alignment horizontal="center" vertical="center"/>
    </xf>
    <xf numFmtId="0" fontId="73" fillId="5" borderId="15" xfId="0" applyFont="1" applyFill="1" applyBorder="1" applyAlignment="1">
      <alignment horizontal="center" vertical="center" wrapText="1"/>
    </xf>
    <xf numFmtId="164" fontId="73" fillId="5" borderId="15" xfId="1" applyFont="1" applyFill="1" applyBorder="1" applyAlignment="1">
      <alignment horizontal="center" vertical="center"/>
    </xf>
    <xf numFmtId="165" fontId="74" fillId="5" borderId="15" xfId="0" applyNumberFormat="1" applyFont="1" applyFill="1" applyBorder="1" applyAlignment="1">
      <alignment horizontal="center" vertical="center"/>
    </xf>
    <xf numFmtId="0" fontId="74" fillId="5" borderId="0" xfId="0" applyFont="1" applyFill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74" fillId="5" borderId="35" xfId="0" applyFont="1" applyFill="1" applyBorder="1" applyAlignment="1">
      <alignment horizontal="center" vertical="center"/>
    </xf>
    <xf numFmtId="0" fontId="75" fillId="5" borderId="35" xfId="0" applyFont="1" applyFill="1" applyBorder="1" applyAlignment="1">
      <alignment horizontal="center" vertical="center" wrapText="1"/>
    </xf>
    <xf numFmtId="0" fontId="76" fillId="5" borderId="35" xfId="0" applyFont="1" applyFill="1" applyBorder="1" applyAlignment="1">
      <alignment horizontal="center" vertical="center" wrapText="1"/>
    </xf>
    <xf numFmtId="0" fontId="74" fillId="5" borderId="35" xfId="0" applyFont="1" applyFill="1" applyBorder="1" applyAlignment="1">
      <alignment horizontal="center" vertical="center" wrapText="1"/>
    </xf>
    <xf numFmtId="0" fontId="74" fillId="5" borderId="33" xfId="0" applyFont="1" applyFill="1" applyBorder="1" applyAlignment="1">
      <alignment horizontal="center" vertical="center" wrapText="1"/>
    </xf>
    <xf numFmtId="0" fontId="74" fillId="5" borderId="18" xfId="0" applyFont="1" applyFill="1" applyBorder="1" applyAlignment="1">
      <alignment horizontal="center" vertical="center" wrapText="1"/>
    </xf>
    <xf numFmtId="164" fontId="74" fillId="5" borderId="18" xfId="1" applyFont="1" applyFill="1" applyBorder="1" applyAlignment="1">
      <alignment horizontal="center" vertical="center"/>
    </xf>
    <xf numFmtId="0" fontId="74" fillId="5" borderId="17" xfId="0" applyFont="1" applyFill="1" applyBorder="1" applyAlignment="1">
      <alignment horizontal="center" vertical="center"/>
    </xf>
    <xf numFmtId="0" fontId="74" fillId="5" borderId="36" xfId="0" applyFont="1" applyFill="1" applyBorder="1" applyAlignment="1">
      <alignment horizontal="center" vertical="center"/>
    </xf>
    <xf numFmtId="165" fontId="74" fillId="5" borderId="35" xfId="0" applyNumberFormat="1" applyFont="1" applyFill="1" applyBorder="1" applyAlignment="1">
      <alignment horizontal="center" vertical="center"/>
    </xf>
    <xf numFmtId="0" fontId="74" fillId="5" borderId="34" xfId="0" applyFont="1" applyFill="1" applyBorder="1" applyAlignment="1">
      <alignment horizontal="center" vertical="center"/>
    </xf>
    <xf numFmtId="0" fontId="74" fillId="0" borderId="0" xfId="0" applyFont="1" applyAlignment="1">
      <alignment horizontal="center" vertical="center" wrapText="1"/>
    </xf>
    <xf numFmtId="164" fontId="74" fillId="0" borderId="0" xfId="1" applyFont="1" applyBorder="1" applyAlignment="1">
      <alignment horizontal="center" vertical="center"/>
    </xf>
    <xf numFmtId="165" fontId="74" fillId="5" borderId="0" xfId="0" applyNumberFormat="1" applyFont="1" applyFill="1" applyAlignment="1">
      <alignment horizontal="center" vertical="center"/>
    </xf>
    <xf numFmtId="0" fontId="77" fillId="5" borderId="35" xfId="0" applyFont="1" applyFill="1" applyBorder="1" applyAlignment="1">
      <alignment horizontal="center" vertical="center" wrapText="1"/>
    </xf>
    <xf numFmtId="0" fontId="77" fillId="5" borderId="18" xfId="0" applyFont="1" applyFill="1" applyBorder="1" applyAlignment="1">
      <alignment horizontal="center" vertical="center" wrapText="1"/>
    </xf>
    <xf numFmtId="0" fontId="77" fillId="5" borderId="18" xfId="0" applyFont="1" applyFill="1" applyBorder="1" applyAlignment="1">
      <alignment horizontal="center" vertical="center"/>
    </xf>
    <xf numFmtId="0" fontId="28" fillId="5" borderId="0" xfId="0" applyFont="1" applyFill="1" applyAlignment="1">
      <alignment horizontal="left" vertical="center"/>
    </xf>
    <xf numFmtId="0" fontId="35" fillId="0" borderId="2" xfId="0" applyFont="1" applyBorder="1" applyAlignment="1">
      <alignment horizontal="center" vertical="center"/>
    </xf>
    <xf numFmtId="0" fontId="60" fillId="0" borderId="2" xfId="64" applyFont="1" applyFill="1" applyBorder="1" applyAlignment="1">
      <alignment horizontal="left" vertical="top" wrapText="1"/>
    </xf>
    <xf numFmtId="0" fontId="29" fillId="5" borderId="1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80" fillId="0" borderId="0" xfId="0" applyFont="1" applyAlignment="1">
      <alignment horizontal="center" vertical="center"/>
    </xf>
    <xf numFmtId="0" fontId="82" fillId="0" borderId="2" xfId="0" applyFont="1" applyBorder="1" applyAlignment="1">
      <alignment horizontal="center" vertical="center"/>
    </xf>
    <xf numFmtId="0" fontId="82" fillId="0" borderId="18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64" fillId="0" borderId="2" xfId="0" applyFont="1" applyBorder="1" applyAlignment="1">
      <alignment horizontal="left" vertical="center" wrapText="1"/>
    </xf>
    <xf numFmtId="0" fontId="64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83" fillId="0" borderId="2" xfId="0" applyFont="1" applyBorder="1" applyAlignment="1">
      <alignment horizontal="center" vertical="center"/>
    </xf>
    <xf numFmtId="0" fontId="84" fillId="5" borderId="37" xfId="0" applyFont="1" applyFill="1" applyBorder="1" applyAlignment="1">
      <alignment horizontal="center" vertical="center"/>
    </xf>
    <xf numFmtId="0" fontId="84" fillId="5" borderId="23" xfId="0" applyFont="1" applyFill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4" fillId="5" borderId="29" xfId="0" applyFont="1" applyFill="1" applyBorder="1" applyAlignment="1">
      <alignment horizontal="center" vertical="center"/>
    </xf>
    <xf numFmtId="0" fontId="84" fillId="5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49" fontId="81" fillId="0" borderId="0" xfId="67" applyNumberFormat="1" applyFont="1" applyAlignment="1">
      <alignment horizontal="center" vertical="center" wrapText="1"/>
    </xf>
    <xf numFmtId="0" fontId="64" fillId="29" borderId="2" xfId="0" applyFont="1" applyFill="1" applyBorder="1" applyAlignment="1">
      <alignment horizontal="left" vertical="center"/>
    </xf>
    <xf numFmtId="165" fontId="28" fillId="5" borderId="31" xfId="0" applyNumberFormat="1" applyFont="1" applyFill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65" fillId="5" borderId="0" xfId="0" applyFont="1" applyFill="1" applyAlignment="1">
      <alignment horizontal="center" vertical="center"/>
    </xf>
    <xf numFmtId="0" fontId="65" fillId="5" borderId="0" xfId="0" applyFont="1" applyFill="1" applyAlignment="1">
      <alignment horizontal="center" vertical="center" wrapText="1"/>
    </xf>
    <xf numFmtId="164" fontId="68" fillId="5" borderId="0" xfId="1" applyFont="1" applyFill="1" applyBorder="1" applyAlignment="1">
      <alignment horizontal="center" vertical="center"/>
    </xf>
    <xf numFmtId="0" fontId="68" fillId="5" borderId="0" xfId="0" applyFont="1" applyFill="1" applyAlignment="1">
      <alignment horizontal="left" vertical="center"/>
    </xf>
    <xf numFmtId="0" fontId="68" fillId="5" borderId="0" xfId="0" applyFont="1" applyFill="1" applyAlignment="1">
      <alignment horizontal="center" vertical="center"/>
    </xf>
    <xf numFmtId="165" fontId="67" fillId="5" borderId="0" xfId="0" applyNumberFormat="1" applyFont="1" applyFill="1" applyAlignment="1">
      <alignment horizontal="center" vertical="center"/>
    </xf>
    <xf numFmtId="0" fontId="0" fillId="0" borderId="0" xfId="0" pivotButton="1"/>
    <xf numFmtId="0" fontId="0" fillId="29" borderId="0" xfId="0" applyFill="1"/>
    <xf numFmtId="0" fontId="85" fillId="0" borderId="2" xfId="0" applyFont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 wrapText="1"/>
    </xf>
    <xf numFmtId="0" fontId="44" fillId="33" borderId="2" xfId="0" applyFont="1" applyFill="1" applyBorder="1" applyAlignment="1">
      <alignment horizontal="center" vertical="center" wrapText="1"/>
    </xf>
    <xf numFmtId="0" fontId="43" fillId="33" borderId="2" xfId="0" applyFont="1" applyFill="1" applyBorder="1" applyAlignment="1">
      <alignment horizontal="center" vertical="center"/>
    </xf>
    <xf numFmtId="0" fontId="49" fillId="0" borderId="31" xfId="0" applyFont="1" applyBorder="1" applyAlignment="1">
      <alignment horizontal="center"/>
    </xf>
    <xf numFmtId="0" fontId="49" fillId="0" borderId="32" xfId="0" applyFont="1" applyBorder="1" applyAlignment="1">
      <alignment horizontal="center"/>
    </xf>
    <xf numFmtId="0" fontId="49" fillId="0" borderId="22" xfId="0" applyFont="1" applyBorder="1" applyAlignment="1">
      <alignment horizontal="center"/>
    </xf>
    <xf numFmtId="0" fontId="40" fillId="31" borderId="13" xfId="0" applyFont="1" applyFill="1" applyBorder="1" applyAlignment="1">
      <alignment horizontal="center" vertical="center" wrapText="1"/>
    </xf>
    <xf numFmtId="0" fontId="40" fillId="31" borderId="14" xfId="0" applyFont="1" applyFill="1" applyBorder="1" applyAlignment="1">
      <alignment horizontal="center" vertical="center" wrapText="1"/>
    </xf>
    <xf numFmtId="0" fontId="40" fillId="31" borderId="15" xfId="0" applyFont="1" applyFill="1" applyBorder="1" applyAlignment="1">
      <alignment horizontal="center" vertical="center" wrapText="1"/>
    </xf>
    <xf numFmtId="0" fontId="40" fillId="31" borderId="16" xfId="0" applyFont="1" applyFill="1" applyBorder="1" applyAlignment="1">
      <alignment horizontal="center" vertical="center" wrapText="1"/>
    </xf>
    <xf numFmtId="0" fontId="40" fillId="31" borderId="2" xfId="0" applyFont="1" applyFill="1" applyBorder="1" applyAlignment="1">
      <alignment horizontal="center" vertical="center"/>
    </xf>
    <xf numFmtId="0" fontId="40" fillId="31" borderId="2" xfId="0" applyFont="1" applyFill="1" applyBorder="1" applyAlignment="1">
      <alignment horizontal="center" vertical="center" wrapText="1"/>
    </xf>
    <xf numFmtId="0" fontId="43" fillId="33" borderId="2" xfId="0" applyFont="1" applyFill="1" applyBorder="1" applyAlignment="1">
      <alignment horizontal="center" vertical="center" wrapText="1"/>
    </xf>
    <xf numFmtId="0" fontId="43" fillId="33" borderId="17" xfId="0" applyFont="1" applyFill="1" applyBorder="1" applyAlignment="1">
      <alignment horizontal="center" vertical="center" wrapText="1"/>
    </xf>
    <xf numFmtId="0" fontId="43" fillId="33" borderId="18" xfId="0" applyFont="1" applyFill="1" applyBorder="1" applyAlignment="1">
      <alignment horizontal="center" vertical="center" wrapText="1"/>
    </xf>
    <xf numFmtId="0" fontId="44" fillId="33" borderId="2" xfId="0" applyFont="1" applyFill="1" applyBorder="1" applyAlignment="1">
      <alignment horizontal="center" vertical="center"/>
    </xf>
    <xf numFmtId="0" fontId="28" fillId="30" borderId="17" xfId="0" applyFont="1" applyFill="1" applyBorder="1" applyAlignment="1">
      <alignment horizontal="center" vertical="center"/>
    </xf>
    <xf numFmtId="0" fontId="28" fillId="30" borderId="18" xfId="0" applyFont="1" applyFill="1" applyBorder="1" applyAlignment="1">
      <alignment horizontal="center" vertical="center"/>
    </xf>
    <xf numFmtId="0" fontId="28" fillId="30" borderId="17" xfId="0" applyFont="1" applyFill="1" applyBorder="1" applyAlignment="1">
      <alignment horizontal="center" vertical="center" wrapText="1"/>
    </xf>
    <xf numFmtId="0" fontId="28" fillId="30" borderId="18" xfId="0" applyFont="1" applyFill="1" applyBorder="1" applyAlignment="1">
      <alignment horizontal="center" vertical="center" wrapText="1"/>
    </xf>
    <xf numFmtId="0" fontId="37" fillId="31" borderId="31" xfId="0" applyFont="1" applyFill="1" applyBorder="1" applyAlignment="1">
      <alignment horizontal="center" vertical="center" wrapText="1"/>
    </xf>
    <xf numFmtId="0" fontId="37" fillId="31" borderId="22" xfId="0" applyFont="1" applyFill="1" applyBorder="1" applyAlignment="1">
      <alignment horizontal="center" vertical="center" wrapText="1"/>
    </xf>
    <xf numFmtId="0" fontId="29" fillId="30" borderId="17" xfId="0" applyFont="1" applyFill="1" applyBorder="1" applyAlignment="1">
      <alignment horizontal="center" vertical="center" wrapText="1"/>
    </xf>
    <xf numFmtId="0" fontId="29" fillId="30" borderId="18" xfId="0" applyFont="1" applyFill="1" applyBorder="1" applyAlignment="1">
      <alignment horizontal="center" vertical="center" wrapText="1"/>
    </xf>
    <xf numFmtId="0" fontId="29" fillId="30" borderId="17" xfId="0" applyFont="1" applyFill="1" applyBorder="1" applyAlignment="1">
      <alignment horizontal="left" vertical="center" wrapText="1"/>
    </xf>
    <xf numFmtId="0" fontId="29" fillId="30" borderId="18" xfId="0" applyFont="1" applyFill="1" applyBorder="1" applyAlignment="1">
      <alignment horizontal="left" vertical="center" wrapText="1"/>
    </xf>
    <xf numFmtId="0" fontId="29" fillId="30" borderId="31" xfId="0" applyFont="1" applyFill="1" applyBorder="1" applyAlignment="1">
      <alignment horizontal="center" vertical="center" wrapText="1"/>
    </xf>
    <xf numFmtId="0" fontId="29" fillId="30" borderId="32" xfId="0" applyFont="1" applyFill="1" applyBorder="1" applyAlignment="1">
      <alignment horizontal="center" vertical="center" wrapText="1"/>
    </xf>
    <xf numFmtId="0" fontId="29" fillId="30" borderId="22" xfId="0" applyFont="1" applyFill="1" applyBorder="1" applyAlignment="1">
      <alignment horizontal="center" vertical="center" wrapText="1"/>
    </xf>
    <xf numFmtId="0" fontId="53" fillId="31" borderId="2" xfId="0" applyFont="1" applyFill="1" applyBorder="1" applyAlignment="1">
      <alignment horizontal="center" vertical="center" wrapText="1"/>
    </xf>
    <xf numFmtId="0" fontId="53" fillId="31" borderId="2" xfId="0" applyFont="1" applyFill="1" applyBorder="1" applyAlignment="1">
      <alignment horizontal="center" vertical="center"/>
    </xf>
    <xf numFmtId="0" fontId="54" fillId="31" borderId="25" xfId="0" applyFont="1" applyFill="1" applyBorder="1" applyAlignment="1">
      <alignment horizontal="center" vertical="center"/>
    </xf>
    <xf numFmtId="0" fontId="54" fillId="31" borderId="13" xfId="0" applyFont="1" applyFill="1" applyBorder="1" applyAlignment="1">
      <alignment horizontal="center" vertical="center"/>
    </xf>
    <xf numFmtId="0" fontId="54" fillId="31" borderId="14" xfId="0" applyFont="1" applyFill="1" applyBorder="1" applyAlignment="1">
      <alignment horizontal="center" vertical="center"/>
    </xf>
    <xf numFmtId="0" fontId="54" fillId="31" borderId="33" xfId="0" applyFont="1" applyFill="1" applyBorder="1" applyAlignment="1">
      <alignment horizontal="center" vertical="center"/>
    </xf>
    <xf numFmtId="0" fontId="54" fillId="31" borderId="15" xfId="0" applyFont="1" applyFill="1" applyBorder="1" applyAlignment="1">
      <alignment horizontal="center" vertical="center"/>
    </xf>
    <xf numFmtId="0" fontId="54" fillId="31" borderId="16" xfId="0" applyFont="1" applyFill="1" applyBorder="1" applyAlignment="1">
      <alignment horizontal="center" vertical="center"/>
    </xf>
    <xf numFmtId="0" fontId="38" fillId="36" borderId="17" xfId="0" applyFont="1" applyFill="1" applyBorder="1" applyAlignment="1">
      <alignment horizontal="center" vertical="center" wrapText="1"/>
    </xf>
    <xf numFmtId="0" fontId="38" fillId="36" borderId="18" xfId="0" applyFont="1" applyFill="1" applyBorder="1" applyAlignment="1">
      <alignment horizontal="center" vertical="center" wrapText="1"/>
    </xf>
    <xf numFmtId="0" fontId="65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67" fillId="29" borderId="35" xfId="0" applyFont="1" applyFill="1" applyBorder="1" applyAlignment="1">
      <alignment horizontal="center" vertical="center"/>
    </xf>
    <xf numFmtId="0" fontId="69" fillId="29" borderId="35" xfId="0" applyFont="1" applyFill="1" applyBorder="1" applyAlignment="1">
      <alignment horizontal="center" vertical="center" wrapText="1"/>
    </xf>
    <xf numFmtId="0" fontId="79" fillId="29" borderId="35" xfId="0" applyFont="1" applyFill="1" applyBorder="1" applyAlignment="1">
      <alignment horizontal="center" vertical="center" wrapText="1"/>
    </xf>
    <xf numFmtId="0" fontId="71" fillId="29" borderId="35" xfId="0" applyFont="1" applyFill="1" applyBorder="1" applyAlignment="1">
      <alignment horizontal="center" vertical="center" wrapText="1"/>
    </xf>
    <xf numFmtId="0" fontId="70" fillId="29" borderId="35" xfId="0" applyFont="1" applyFill="1" applyBorder="1" applyAlignment="1">
      <alignment horizontal="center" vertical="center" wrapText="1"/>
    </xf>
    <xf numFmtId="0" fontId="71" fillId="29" borderId="33" xfId="0" applyFont="1" applyFill="1" applyBorder="1" applyAlignment="1">
      <alignment horizontal="center" vertical="center" wrapText="1"/>
    </xf>
    <xf numFmtId="0" fontId="71" fillId="29" borderId="18" xfId="0" applyFont="1" applyFill="1" applyBorder="1" applyAlignment="1">
      <alignment horizontal="center" vertical="center" wrapText="1"/>
    </xf>
    <xf numFmtId="0" fontId="69" fillId="29" borderId="18" xfId="0" applyFont="1" applyFill="1" applyBorder="1" applyAlignment="1">
      <alignment horizontal="center" vertical="center" wrapText="1"/>
    </xf>
    <xf numFmtId="0" fontId="69" fillId="29" borderId="18" xfId="0" applyFont="1" applyFill="1" applyBorder="1" applyAlignment="1">
      <alignment horizontal="center" vertical="center"/>
    </xf>
    <xf numFmtId="0" fontId="72" fillId="29" borderId="18" xfId="0" applyFont="1" applyFill="1" applyBorder="1" applyAlignment="1">
      <alignment horizontal="center" vertical="center"/>
    </xf>
    <xf numFmtId="164" fontId="67" fillId="29" borderId="18" xfId="1" applyFont="1" applyFill="1" applyBorder="1" applyAlignment="1">
      <alignment horizontal="center" vertical="center"/>
    </xf>
    <xf numFmtId="0" fontId="67" fillId="29" borderId="17" xfId="0" applyFont="1" applyFill="1" applyBorder="1" applyAlignment="1">
      <alignment horizontal="left" vertical="center"/>
    </xf>
    <xf numFmtId="0" fontId="67" fillId="29" borderId="36" xfId="0" applyFont="1" applyFill="1" applyBorder="1" applyAlignment="1">
      <alignment horizontal="center" vertical="center"/>
    </xf>
    <xf numFmtId="165" fontId="67" fillId="29" borderId="34" xfId="0" applyNumberFormat="1" applyFont="1" applyFill="1" applyBorder="1" applyAlignment="1">
      <alignment horizontal="center" vertical="center"/>
    </xf>
    <xf numFmtId="0" fontId="67" fillId="29" borderId="34" xfId="0" applyFont="1" applyFill="1" applyBorder="1" applyAlignment="1">
      <alignment horizontal="center" vertical="center"/>
    </xf>
    <xf numFmtId="0" fontId="67" fillId="29" borderId="0" xfId="0" applyFont="1" applyFill="1" applyAlignment="1">
      <alignment horizontal="center" vertical="center"/>
    </xf>
  </cellXfs>
  <cellStyles count="68">
    <cellStyle name="20% - Accent1" xfId="3" xr:uid="{00000000-0005-0000-0000-000000000000}"/>
    <cellStyle name="20% - Accent2" xfId="4" xr:uid="{00000000-0005-0000-0000-000001000000}"/>
    <cellStyle name="20% - Accent3" xfId="5" xr:uid="{00000000-0005-0000-0000-000002000000}"/>
    <cellStyle name="20% - Accent4" xfId="6" xr:uid="{00000000-0005-0000-0000-000003000000}"/>
    <cellStyle name="20% - Accent5" xfId="7" xr:uid="{00000000-0005-0000-0000-000004000000}"/>
    <cellStyle name="20% - Accent6" xfId="8" xr:uid="{00000000-0005-0000-0000-000005000000}"/>
    <cellStyle name="20% - ส่วนที่ถูกเน้น6 2" xfId="46" xr:uid="{00000000-0005-0000-0000-000006000000}"/>
    <cellStyle name="40% - Accent1" xfId="9" xr:uid="{00000000-0005-0000-0000-000007000000}"/>
    <cellStyle name="40% - Accent2" xfId="10" xr:uid="{00000000-0005-0000-0000-000008000000}"/>
    <cellStyle name="40% - Accent3" xfId="11" xr:uid="{00000000-0005-0000-0000-000009000000}"/>
    <cellStyle name="40% - Accent4" xfId="12" xr:uid="{00000000-0005-0000-0000-00000A000000}"/>
    <cellStyle name="40% - Accent5" xfId="13" xr:uid="{00000000-0005-0000-0000-00000B000000}"/>
    <cellStyle name="40% - Accent6" xfId="14" xr:uid="{00000000-0005-0000-0000-00000C000000}"/>
    <cellStyle name="60% - Accent1" xfId="15" xr:uid="{00000000-0005-0000-0000-00000D000000}"/>
    <cellStyle name="60% - Accent2" xfId="16" xr:uid="{00000000-0005-0000-0000-00000E000000}"/>
    <cellStyle name="60% - Accent3" xfId="17" xr:uid="{00000000-0005-0000-0000-00000F000000}"/>
    <cellStyle name="60% - Accent4" xfId="18" xr:uid="{00000000-0005-0000-0000-000010000000}"/>
    <cellStyle name="60% - Accent5" xfId="19" xr:uid="{00000000-0005-0000-0000-000011000000}"/>
    <cellStyle name="60% - Accent6" xfId="20" xr:uid="{00000000-0005-0000-0000-000012000000}"/>
    <cellStyle name="60% - ส่วนที่ถูกเน้น2 2" xfId="48" xr:uid="{00000000-0005-0000-0000-000013000000}"/>
    <cellStyle name="Accent1" xfId="21" xr:uid="{00000000-0005-0000-0000-000014000000}"/>
    <cellStyle name="Accent2" xfId="22" xr:uid="{00000000-0005-0000-0000-000015000000}"/>
    <cellStyle name="Accent3" xfId="23" xr:uid="{00000000-0005-0000-0000-000016000000}"/>
    <cellStyle name="Accent4" xfId="24" xr:uid="{00000000-0005-0000-0000-000017000000}"/>
    <cellStyle name="Accent5" xfId="25" xr:uid="{00000000-0005-0000-0000-000018000000}"/>
    <cellStyle name="Accent6" xfId="26" xr:uid="{00000000-0005-0000-0000-000019000000}"/>
    <cellStyle name="Bad" xfId="27" xr:uid="{00000000-0005-0000-0000-00001A000000}"/>
    <cellStyle name="Calculation" xfId="28" xr:uid="{00000000-0005-0000-0000-00001B000000}"/>
    <cellStyle name="Check Cell" xfId="29" xr:uid="{00000000-0005-0000-0000-00001C000000}"/>
    <cellStyle name="Comma" xfId="1" builtinId="3"/>
    <cellStyle name="Comma 10" xfId="53" xr:uid="{00000000-0005-0000-0000-00001E000000}"/>
    <cellStyle name="Comma 11" xfId="56" xr:uid="{00000000-0005-0000-0000-00001F000000}"/>
    <cellStyle name="Comma 12" xfId="55" xr:uid="{00000000-0005-0000-0000-000020000000}"/>
    <cellStyle name="Comma 13" xfId="57" xr:uid="{00000000-0005-0000-0000-000021000000}"/>
    <cellStyle name="Comma 14" xfId="58" xr:uid="{00000000-0005-0000-0000-000022000000}"/>
    <cellStyle name="Comma 15" xfId="59" xr:uid="{00000000-0005-0000-0000-000023000000}"/>
    <cellStyle name="Comma 16" xfId="60" xr:uid="{00000000-0005-0000-0000-000024000000}"/>
    <cellStyle name="Comma 17" xfId="61" xr:uid="{00000000-0005-0000-0000-000025000000}"/>
    <cellStyle name="Comma 18" xfId="62" xr:uid="{00000000-0005-0000-0000-000026000000}"/>
    <cellStyle name="Comma 2" xfId="50" xr:uid="{00000000-0005-0000-0000-000027000000}"/>
    <cellStyle name="Comma 20" xfId="63" xr:uid="{00000000-0005-0000-0000-000028000000}"/>
    <cellStyle name="Comma 6" xfId="49" xr:uid="{00000000-0005-0000-0000-000029000000}"/>
    <cellStyle name="Comma 7" xfId="52" xr:uid="{00000000-0005-0000-0000-00002A000000}"/>
    <cellStyle name="Comma 8" xfId="51" xr:uid="{00000000-0005-0000-0000-00002B000000}"/>
    <cellStyle name="Comma 9" xfId="54" xr:uid="{00000000-0005-0000-0000-00002C000000}"/>
    <cellStyle name="Comma_Invoice Check list 1-20 Nov 09" xfId="66" xr:uid="{B63D1431-AAE0-4187-B2F4-C83FF708B10F}"/>
    <cellStyle name="Explanatory Text" xfId="30" xr:uid="{00000000-0005-0000-0000-00002D000000}"/>
    <cellStyle name="Good" xfId="31" xr:uid="{00000000-0005-0000-0000-00002E000000}"/>
    <cellStyle name="Heading 1" xfId="32" xr:uid="{00000000-0005-0000-0000-00002F000000}"/>
    <cellStyle name="Heading 2" xfId="33" xr:uid="{00000000-0005-0000-0000-000030000000}"/>
    <cellStyle name="Heading 3" xfId="34" xr:uid="{00000000-0005-0000-0000-000031000000}"/>
    <cellStyle name="Heading 4" xfId="35" xr:uid="{00000000-0005-0000-0000-000032000000}"/>
    <cellStyle name="Hyperlink" xfId="64" builtinId="8"/>
    <cellStyle name="Input" xfId="36" xr:uid="{00000000-0005-0000-0000-000034000000}"/>
    <cellStyle name="Linked Cell" xfId="37" xr:uid="{00000000-0005-0000-0000-000035000000}"/>
    <cellStyle name="Neutral" xfId="38" xr:uid="{00000000-0005-0000-0000-000036000000}"/>
    <cellStyle name="Normal" xfId="0" builtinId="0"/>
    <cellStyle name="Normal 2" xfId="67" xr:uid="{63576E94-3774-4A5F-9D2F-6CA8ECF337A8}"/>
    <cellStyle name="Note" xfId="39" xr:uid="{00000000-0005-0000-0000-000038000000}"/>
    <cellStyle name="Output" xfId="40" xr:uid="{00000000-0005-0000-0000-000039000000}"/>
    <cellStyle name="Title" xfId="41" xr:uid="{00000000-0005-0000-0000-00003A000000}"/>
    <cellStyle name="Total" xfId="42" xr:uid="{00000000-0005-0000-0000-00003B000000}"/>
    <cellStyle name="Warning Text" xfId="43" xr:uid="{00000000-0005-0000-0000-00003C000000}"/>
    <cellStyle name="ปกติ 2" xfId="45" xr:uid="{00000000-0005-0000-0000-00003D000000}"/>
    <cellStyle name="ปกติ 2 2" xfId="65" xr:uid="{00000000-0005-0000-0000-00003E000000}"/>
    <cellStyle name="ปกติ_w3_26.01.53" xfId="2" xr:uid="{00000000-0005-0000-0000-00003F000000}"/>
    <cellStyle name="ส่วนที่ถูกเน้น2 2" xfId="47" xr:uid="{00000000-0005-0000-0000-000040000000}"/>
    <cellStyle name="หัวเรื่อง 1 2" xfId="44" xr:uid="{00000000-0005-0000-0000-000041000000}"/>
  </cellStyles>
  <dxfs count="40">
    <dxf>
      <fill>
        <patternFill patternType="solid">
          <fgColor indexed="64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2"/>
        <scheme val="major"/>
      </font>
      <numFmt numFmtId="165" formatCode="[$-1010000]d/m/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4"/>
        <color theme="10"/>
        <name val="Cambria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mbria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mbria"/>
        <family val="2"/>
        <scheme val="maj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mbria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mbria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mbria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mbria"/>
        <family val="2"/>
        <scheme val="maj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2"/>
        <scheme val="major"/>
      </font>
      <numFmt numFmtId="166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2"/>
        <scheme val="major"/>
      </font>
      <numFmt numFmtId="166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owallia Ne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mbria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 SemiLight Condensed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rowallia New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ahnschrift Light Condensed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</dxfs>
  <tableStyles count="0" defaultTableStyle="TableStyleMedium9" defaultPivotStyle="PivotStyleLight16"/>
  <colors>
    <mruColors>
      <color rgb="FF0000FF"/>
      <color rgb="FFFF0000"/>
      <color rgb="FF00FFFF"/>
      <color rgb="FFFFFF66"/>
      <color rgb="FFFFFF99"/>
      <color rgb="FFFFE5E5"/>
      <color rgb="FFFFD5D5"/>
      <color rgb="FFFFCCCC"/>
      <color rgb="FFCCECFF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137160</xdr:rowOff>
    </xdr:from>
    <xdr:to>
      <xdr:col>1</xdr:col>
      <xdr:colOff>792480</xdr:colOff>
      <xdr:row>2</xdr:row>
      <xdr:rowOff>7405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7804E9-958D-4BDE-A1C3-32DA6C365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"/>
          <a:ext cx="1548130" cy="219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482600</xdr:colOff>
      <xdr:row>1</xdr:row>
      <xdr:rowOff>50800</xdr:rowOff>
    </xdr:from>
    <xdr:to>
      <xdr:col>1</xdr:col>
      <xdr:colOff>2033173</xdr:colOff>
      <xdr:row>4</xdr:row>
      <xdr:rowOff>6349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1E746B-F21A-45EB-AEC3-1C92681C8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550" y="209550"/>
          <a:ext cx="1455323" cy="4317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D\Shared%20Documents\Executive%20Office\Weekly%20VM\Form%20of%20Project%20Statu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D\Shared%20Documents\Executive%20Office\&#3615;&#3629;&#3619;&#3660;&#3617;\&#3615;&#3629;&#3619;&#3660;&#3617;%20Report%20&#3613;&#3656;&#3634;&#3618;&#3586;&#3634;&#3618;\S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List"/>
      <sheetName val="Sheet3"/>
    </sheetNames>
    <sheetDataSet>
      <sheetData sheetId="0"/>
      <sheetData sheetId="1">
        <row r="4">
          <cell r="B4" t="str">
            <v>Amnat Charoen</v>
          </cell>
          <cell r="D4" t="str">
            <v>Building</v>
          </cell>
          <cell r="G4" t="str">
            <v>Approaching</v>
          </cell>
          <cell r="J4" t="str">
            <v>Project Win</v>
          </cell>
          <cell r="L4">
            <v>0</v>
          </cell>
        </row>
        <row r="5">
          <cell r="B5" t="str">
            <v>Ang Thong</v>
          </cell>
          <cell r="D5" t="str">
            <v>Industry - Cement</v>
          </cell>
          <cell r="G5" t="str">
            <v>Waiting Enquiry</v>
          </cell>
          <cell r="J5" t="str">
            <v>Portion Win</v>
          </cell>
          <cell r="L5">
            <v>0.25</v>
          </cell>
        </row>
        <row r="6">
          <cell r="B6" t="str">
            <v>Ayutthaya</v>
          </cell>
          <cell r="D6" t="str">
            <v>Industry - Energy</v>
          </cell>
          <cell r="G6" t="str">
            <v>Specify &amp; Break down Enquiry</v>
          </cell>
          <cell r="J6" t="str">
            <v>Lost</v>
          </cell>
          <cell r="L6">
            <v>0.5</v>
          </cell>
        </row>
        <row r="7">
          <cell r="B7" t="str">
            <v>Bangkok</v>
          </cell>
          <cell r="D7" t="str">
            <v>Industry - Food</v>
          </cell>
          <cell r="G7" t="str">
            <v>Pricing</v>
          </cell>
          <cell r="L7">
            <v>0.75</v>
          </cell>
        </row>
        <row r="8">
          <cell r="B8" t="str">
            <v>Bueng Kan</v>
          </cell>
          <cell r="D8" t="str">
            <v>Industry - Paper &amp; Pulp</v>
          </cell>
          <cell r="G8" t="str">
            <v>Preparing Proposal</v>
          </cell>
          <cell r="L8">
            <v>0.9</v>
          </cell>
        </row>
        <row r="9">
          <cell r="B9" t="str">
            <v>Buriram</v>
          </cell>
          <cell r="D9" t="str">
            <v>Industry - Petrochem</v>
          </cell>
          <cell r="G9" t="str">
            <v>Submitted Proposal</v>
          </cell>
          <cell r="L9">
            <v>1</v>
          </cell>
        </row>
        <row r="10">
          <cell r="B10" t="str">
            <v>Chachoengsao</v>
          </cell>
          <cell r="D10" t="str">
            <v>Industry - Phama</v>
          </cell>
          <cell r="G10" t="str">
            <v>Negotiating</v>
          </cell>
        </row>
        <row r="11">
          <cell r="B11" t="str">
            <v>Chainat</v>
          </cell>
          <cell r="D11" t="str">
            <v>Industry - Power Plant</v>
          </cell>
          <cell r="G11" t="str">
            <v>Amending Proposal</v>
          </cell>
        </row>
        <row r="12">
          <cell r="B12" t="str">
            <v>Chaiyaphum</v>
          </cell>
          <cell r="D12" t="str">
            <v>Industry - Textile</v>
          </cell>
          <cell r="G12" t="str">
            <v>Submitted Final Proposal</v>
          </cell>
        </row>
        <row r="13">
          <cell r="B13" t="str">
            <v>Chanthaburi</v>
          </cell>
          <cell r="D13" t="str">
            <v>Industry - Waste</v>
          </cell>
          <cell r="G13" t="str">
            <v>Sales Closed</v>
          </cell>
        </row>
        <row r="14">
          <cell r="B14" t="str">
            <v>Chiang Mai</v>
          </cell>
          <cell r="D14" t="str">
            <v>Industry - Others</v>
          </cell>
          <cell r="G14" t="str">
            <v>Project Postponed</v>
          </cell>
        </row>
        <row r="15">
          <cell r="B15" t="str">
            <v>Chiang Rai</v>
          </cell>
          <cell r="D15" t="str">
            <v>Others</v>
          </cell>
          <cell r="G15" t="str">
            <v>Project Cancelled</v>
          </cell>
        </row>
        <row r="16">
          <cell r="B16" t="str">
            <v>Chonburi</v>
          </cell>
        </row>
        <row r="17">
          <cell r="B17" t="str">
            <v>Chumphon</v>
          </cell>
        </row>
        <row r="18">
          <cell r="B18" t="str">
            <v>Kalasin</v>
          </cell>
        </row>
        <row r="19">
          <cell r="B19" t="str">
            <v>Kamphaeng Phet</v>
          </cell>
        </row>
        <row r="20">
          <cell r="B20" t="str">
            <v>Kanchanaburi</v>
          </cell>
        </row>
        <row r="21">
          <cell r="B21" t="str">
            <v>Khon Kaen</v>
          </cell>
        </row>
        <row r="22">
          <cell r="B22" t="str">
            <v>Krabi</v>
          </cell>
        </row>
        <row r="23">
          <cell r="B23" t="str">
            <v>Lampang</v>
          </cell>
        </row>
        <row r="24">
          <cell r="B24" t="str">
            <v>Lamphun</v>
          </cell>
        </row>
        <row r="25">
          <cell r="B25" t="str">
            <v>Loei</v>
          </cell>
        </row>
        <row r="26">
          <cell r="B26" t="str">
            <v>Lopburi</v>
          </cell>
        </row>
        <row r="27">
          <cell r="B27" t="str">
            <v>Mae Hong Son</v>
          </cell>
        </row>
        <row r="28">
          <cell r="B28" t="str">
            <v>Maha Sarakham</v>
          </cell>
        </row>
        <row r="29">
          <cell r="B29" t="str">
            <v>Mukdahan</v>
          </cell>
        </row>
        <row r="30">
          <cell r="B30" t="str">
            <v>Nakhon Nayok</v>
          </cell>
        </row>
        <row r="31">
          <cell r="B31" t="str">
            <v>Nakhon Pathom</v>
          </cell>
        </row>
        <row r="32">
          <cell r="B32" t="str">
            <v>Nakhon Phanom</v>
          </cell>
        </row>
        <row r="33">
          <cell r="B33" t="str">
            <v>Nakhon Ratchasima</v>
          </cell>
        </row>
        <row r="34">
          <cell r="B34" t="str">
            <v>Nakhon Sawan</v>
          </cell>
        </row>
        <row r="35">
          <cell r="B35" t="str">
            <v>Nakhon Si Thammarat</v>
          </cell>
        </row>
        <row r="36">
          <cell r="B36" t="str">
            <v>Nan</v>
          </cell>
        </row>
        <row r="37">
          <cell r="B37" t="str">
            <v>Narathiwat</v>
          </cell>
        </row>
        <row r="38">
          <cell r="B38" t="str">
            <v>Nong Bua Lamphu</v>
          </cell>
        </row>
        <row r="39">
          <cell r="B39" t="str">
            <v>Nong Khai</v>
          </cell>
        </row>
        <row r="40">
          <cell r="B40" t="str">
            <v>Nonthaburi</v>
          </cell>
        </row>
        <row r="41">
          <cell r="B41" t="str">
            <v>Pathum Thani</v>
          </cell>
        </row>
        <row r="42">
          <cell r="B42" t="str">
            <v>Pattani</v>
          </cell>
        </row>
        <row r="43">
          <cell r="B43" t="str">
            <v>Phang Nga</v>
          </cell>
        </row>
        <row r="44">
          <cell r="B44" t="str">
            <v>Phattalung</v>
          </cell>
        </row>
        <row r="45">
          <cell r="B45" t="str">
            <v>Phayao</v>
          </cell>
        </row>
        <row r="46">
          <cell r="B46" t="str">
            <v>Phetchabun</v>
          </cell>
        </row>
        <row r="47">
          <cell r="B47" t="str">
            <v>Phetchaburi</v>
          </cell>
        </row>
        <row r="48">
          <cell r="B48" t="str">
            <v>Phichit</v>
          </cell>
        </row>
        <row r="49">
          <cell r="B49" t="str">
            <v>Phitsanulok</v>
          </cell>
        </row>
        <row r="50">
          <cell r="B50" t="str">
            <v>Phrae</v>
          </cell>
        </row>
        <row r="51">
          <cell r="B51" t="str">
            <v>Phuket</v>
          </cell>
        </row>
        <row r="52">
          <cell r="B52" t="str">
            <v>Prachinburi</v>
          </cell>
        </row>
        <row r="53">
          <cell r="B53" t="str">
            <v>Prachuap Khiri Khan</v>
          </cell>
        </row>
        <row r="54">
          <cell r="B54" t="str">
            <v>Ranong</v>
          </cell>
        </row>
        <row r="55">
          <cell r="B55" t="str">
            <v>Ratchaburi</v>
          </cell>
        </row>
        <row r="56">
          <cell r="B56" t="str">
            <v>Rayong</v>
          </cell>
        </row>
        <row r="57">
          <cell r="B57" t="str">
            <v>Roi Et</v>
          </cell>
        </row>
        <row r="58">
          <cell r="B58" t="str">
            <v>Sa Kaeo</v>
          </cell>
        </row>
        <row r="59">
          <cell r="B59" t="str">
            <v>Sakhon Nakhon</v>
          </cell>
        </row>
        <row r="60">
          <cell r="B60" t="str">
            <v>Samut Prakan</v>
          </cell>
        </row>
        <row r="61">
          <cell r="B61" t="str">
            <v>Samut Sakhon</v>
          </cell>
        </row>
        <row r="62">
          <cell r="B62" t="str">
            <v>Samut Songkhram</v>
          </cell>
        </row>
        <row r="63">
          <cell r="B63" t="str">
            <v>Saraburi</v>
          </cell>
        </row>
        <row r="64">
          <cell r="B64" t="str">
            <v>Satun</v>
          </cell>
        </row>
        <row r="65">
          <cell r="B65" t="str">
            <v>Si Saket</v>
          </cell>
        </row>
        <row r="66">
          <cell r="B66" t="str">
            <v>Singburi</v>
          </cell>
        </row>
        <row r="67">
          <cell r="B67" t="str">
            <v>Songkhla</v>
          </cell>
        </row>
        <row r="68">
          <cell r="B68" t="str">
            <v>Sukhothaï</v>
          </cell>
        </row>
        <row r="69">
          <cell r="B69" t="str">
            <v>Suphanburi</v>
          </cell>
        </row>
        <row r="70">
          <cell r="B70" t="str">
            <v>Surat Thani</v>
          </cell>
        </row>
        <row r="71">
          <cell r="B71" t="str">
            <v>Surin</v>
          </cell>
        </row>
        <row r="72">
          <cell r="B72" t="str">
            <v>Tak</v>
          </cell>
        </row>
        <row r="73">
          <cell r="B73" t="str">
            <v>Trang</v>
          </cell>
        </row>
        <row r="74">
          <cell r="B74" t="str">
            <v>Trat</v>
          </cell>
        </row>
        <row r="75">
          <cell r="B75" t="str">
            <v>Ubon Ratchathani</v>
          </cell>
        </row>
        <row r="76">
          <cell r="B76" t="str">
            <v>Udon Thani</v>
          </cell>
        </row>
        <row r="77">
          <cell r="B77" t="str">
            <v>Uthai Thani</v>
          </cell>
        </row>
        <row r="78">
          <cell r="B78" t="str">
            <v>Uttaradit</v>
          </cell>
        </row>
        <row r="79">
          <cell r="B79" t="str">
            <v>Yala</v>
          </cell>
        </row>
        <row r="80">
          <cell r="B80" t="str">
            <v>Yasothon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"/>
      <sheetName val="Sheet2"/>
    </sheetNames>
    <sheetDataSet>
      <sheetData sheetId="0"/>
      <sheetData sheetId="1">
        <row r="4">
          <cell r="B4" t="str">
            <v>Amnat Charoen</v>
          </cell>
          <cell r="D4" t="str">
            <v>EPC</v>
          </cell>
          <cell r="F4" t="str">
            <v>Negotiating</v>
          </cell>
          <cell r="I4" t="str">
            <v>Portion Win</v>
          </cell>
          <cell r="K4">
            <v>0</v>
          </cell>
          <cell r="M4">
            <v>1</v>
          </cell>
        </row>
        <row r="5">
          <cell r="B5" t="str">
            <v>Ang Thong</v>
          </cell>
          <cell r="D5" t="str">
            <v>Dealer</v>
          </cell>
          <cell r="F5" t="str">
            <v>Revising Enquiry</v>
          </cell>
          <cell r="I5" t="str">
            <v>Quotation Win</v>
          </cell>
          <cell r="K5">
            <v>0.1</v>
          </cell>
          <cell r="M5">
            <v>2</v>
          </cell>
        </row>
        <row r="6">
          <cell r="B6" t="str">
            <v>Ayutthaya</v>
          </cell>
          <cell r="D6" t="str">
            <v>End User</v>
          </cell>
          <cell r="F6" t="str">
            <v>Amending Proposal</v>
          </cell>
          <cell r="I6" t="str">
            <v>Lost</v>
          </cell>
          <cell r="K6">
            <v>0.25</v>
          </cell>
          <cell r="M6">
            <v>3</v>
          </cell>
        </row>
        <row r="7">
          <cell r="B7" t="str">
            <v>Bangkok</v>
          </cell>
          <cell r="D7" t="str">
            <v>OEM</v>
          </cell>
          <cell r="F7" t="str">
            <v>Submitted Final Proposal</v>
          </cell>
          <cell r="K7">
            <v>0.5</v>
          </cell>
          <cell r="M7">
            <v>4</v>
          </cell>
        </row>
        <row r="8">
          <cell r="B8" t="str">
            <v>Bueng Kan</v>
          </cell>
          <cell r="D8" t="str">
            <v>Service Shop</v>
          </cell>
          <cell r="F8" t="str">
            <v>Following</v>
          </cell>
          <cell r="K8">
            <v>0.75</v>
          </cell>
          <cell r="M8">
            <v>5</v>
          </cell>
        </row>
        <row r="9">
          <cell r="B9" t="str">
            <v>Buriram</v>
          </cell>
          <cell r="D9" t="str">
            <v>Subcontractor</v>
          </cell>
          <cell r="F9" t="str">
            <v>Sales Closed</v>
          </cell>
          <cell r="K9">
            <v>0.9</v>
          </cell>
          <cell r="M9">
            <v>6</v>
          </cell>
        </row>
        <row r="10">
          <cell r="B10" t="str">
            <v>Chachoengsao</v>
          </cell>
          <cell r="D10" t="str">
            <v>Trading</v>
          </cell>
          <cell r="F10" t="str">
            <v>Enquiry Cancelled</v>
          </cell>
          <cell r="K10">
            <v>1</v>
          </cell>
          <cell r="M10">
            <v>7</v>
          </cell>
        </row>
        <row r="11">
          <cell r="B11" t="str">
            <v>Chainat</v>
          </cell>
          <cell r="D11" t="str">
            <v>Others</v>
          </cell>
          <cell r="F11" t="str">
            <v>Enquiry Suspended</v>
          </cell>
          <cell r="M11">
            <v>8</v>
          </cell>
        </row>
        <row r="12">
          <cell r="B12" t="str">
            <v>Chaiyaphum</v>
          </cell>
          <cell r="M12">
            <v>9</v>
          </cell>
        </row>
        <row r="13">
          <cell r="B13" t="str">
            <v>Chanthaburi</v>
          </cell>
          <cell r="M13">
            <v>10</v>
          </cell>
        </row>
        <row r="14">
          <cell r="B14" t="str">
            <v>Chiang Mai</v>
          </cell>
        </row>
        <row r="15">
          <cell r="B15" t="str">
            <v>Chiang Rai</v>
          </cell>
        </row>
        <row r="16">
          <cell r="B16" t="str">
            <v>Chonburi</v>
          </cell>
        </row>
        <row r="17">
          <cell r="B17" t="str">
            <v>Chumphon</v>
          </cell>
        </row>
        <row r="18">
          <cell r="B18" t="str">
            <v>Kalasin</v>
          </cell>
        </row>
        <row r="19">
          <cell r="B19" t="str">
            <v>Kamphaeng Phet</v>
          </cell>
        </row>
        <row r="20">
          <cell r="B20" t="str">
            <v>Kanchanaburi</v>
          </cell>
        </row>
        <row r="21">
          <cell r="B21" t="str">
            <v>Khon Kaen</v>
          </cell>
        </row>
        <row r="22">
          <cell r="B22" t="str">
            <v>Krabi</v>
          </cell>
        </row>
        <row r="23">
          <cell r="B23" t="str">
            <v>Lampang</v>
          </cell>
        </row>
        <row r="24">
          <cell r="B24" t="str">
            <v>Lamphun</v>
          </cell>
        </row>
        <row r="25">
          <cell r="B25" t="str">
            <v>Loei</v>
          </cell>
        </row>
        <row r="26">
          <cell r="B26" t="str">
            <v>Lopburi</v>
          </cell>
        </row>
        <row r="27">
          <cell r="B27" t="str">
            <v>Mae Hong Son</v>
          </cell>
        </row>
        <row r="28">
          <cell r="B28" t="str">
            <v>Maha Sarakham</v>
          </cell>
        </row>
        <row r="29">
          <cell r="B29" t="str">
            <v>Mukdahan</v>
          </cell>
        </row>
        <row r="30">
          <cell r="B30" t="str">
            <v>Nakhon Nayok</v>
          </cell>
        </row>
        <row r="31">
          <cell r="B31" t="str">
            <v>Nakhon Pathom</v>
          </cell>
        </row>
        <row r="32">
          <cell r="B32" t="str">
            <v>Nakhon Phanom</v>
          </cell>
        </row>
        <row r="33">
          <cell r="B33" t="str">
            <v>Nakhon Ratchasima</v>
          </cell>
        </row>
        <row r="34">
          <cell r="B34" t="str">
            <v>Nakhon Sawan</v>
          </cell>
        </row>
        <row r="35">
          <cell r="B35" t="str">
            <v>Nakhon Si Thammarat</v>
          </cell>
        </row>
        <row r="36">
          <cell r="B36" t="str">
            <v>Nan</v>
          </cell>
        </row>
        <row r="37">
          <cell r="B37" t="str">
            <v>Narathiwat</v>
          </cell>
        </row>
        <row r="38">
          <cell r="B38" t="str">
            <v>Nong Bua Lamphu</v>
          </cell>
        </row>
        <row r="39">
          <cell r="B39" t="str">
            <v>Nong Khai</v>
          </cell>
        </row>
        <row r="40">
          <cell r="B40" t="str">
            <v>Nonthaburi</v>
          </cell>
        </row>
        <row r="41">
          <cell r="B41" t="str">
            <v>Pathum Thani</v>
          </cell>
        </row>
        <row r="42">
          <cell r="B42" t="str">
            <v>Pattani</v>
          </cell>
        </row>
        <row r="43">
          <cell r="B43" t="str">
            <v>Phang Nga</v>
          </cell>
        </row>
        <row r="44">
          <cell r="B44" t="str">
            <v>Phattalung</v>
          </cell>
        </row>
        <row r="45">
          <cell r="B45" t="str">
            <v>Phayao</v>
          </cell>
        </row>
        <row r="46">
          <cell r="B46" t="str">
            <v>Phetchabun</v>
          </cell>
        </row>
        <row r="47">
          <cell r="B47" t="str">
            <v>Phetchaburi</v>
          </cell>
        </row>
        <row r="48">
          <cell r="B48" t="str">
            <v>Phichit</v>
          </cell>
        </row>
        <row r="49">
          <cell r="B49" t="str">
            <v>Phitsanulok</v>
          </cell>
        </row>
        <row r="50">
          <cell r="B50" t="str">
            <v>Phrae</v>
          </cell>
        </row>
        <row r="51">
          <cell r="B51" t="str">
            <v>Phuket</v>
          </cell>
        </row>
        <row r="52">
          <cell r="B52" t="str">
            <v>Prachinburi</v>
          </cell>
        </row>
        <row r="53">
          <cell r="B53" t="str">
            <v>Prachuap Khiri Khan</v>
          </cell>
        </row>
        <row r="54">
          <cell r="B54" t="str">
            <v>Ranong</v>
          </cell>
        </row>
        <row r="55">
          <cell r="B55" t="str">
            <v>Ratchaburi</v>
          </cell>
        </row>
        <row r="56">
          <cell r="B56" t="str">
            <v>Rayong</v>
          </cell>
        </row>
        <row r="57">
          <cell r="B57" t="str">
            <v>Roi Et</v>
          </cell>
        </row>
        <row r="58">
          <cell r="B58" t="str">
            <v>Sa Kaeo</v>
          </cell>
        </row>
        <row r="59">
          <cell r="B59" t="str">
            <v>Sakhon Nakhon</v>
          </cell>
        </row>
        <row r="60">
          <cell r="B60" t="str">
            <v>Samut Prakan</v>
          </cell>
        </row>
        <row r="61">
          <cell r="B61" t="str">
            <v>Samut Sakhon</v>
          </cell>
        </row>
        <row r="62">
          <cell r="B62" t="str">
            <v>Samut Songkhram</v>
          </cell>
        </row>
        <row r="63">
          <cell r="B63" t="str">
            <v>Saraburi</v>
          </cell>
        </row>
        <row r="64">
          <cell r="B64" t="str">
            <v>Satun</v>
          </cell>
        </row>
        <row r="65">
          <cell r="B65" t="str">
            <v>Si Saket</v>
          </cell>
        </row>
        <row r="66">
          <cell r="B66" t="str">
            <v>Singburi</v>
          </cell>
        </row>
        <row r="67">
          <cell r="B67" t="str">
            <v>Songkhla</v>
          </cell>
        </row>
        <row r="68">
          <cell r="B68" t="str">
            <v>Sukhothaï</v>
          </cell>
        </row>
        <row r="69">
          <cell r="B69" t="str">
            <v>Suphanburi</v>
          </cell>
        </row>
        <row r="70">
          <cell r="B70" t="str">
            <v>Surat Thani</v>
          </cell>
        </row>
        <row r="71">
          <cell r="B71" t="str">
            <v>Surin</v>
          </cell>
        </row>
        <row r="72">
          <cell r="B72" t="str">
            <v>Tak</v>
          </cell>
        </row>
        <row r="73">
          <cell r="B73" t="str">
            <v>Trang</v>
          </cell>
        </row>
        <row r="74">
          <cell r="B74" t="str">
            <v>Trat</v>
          </cell>
        </row>
        <row r="75">
          <cell r="B75" t="str">
            <v>Ubon Ratchathani</v>
          </cell>
        </row>
        <row r="76">
          <cell r="B76" t="str">
            <v>Udon Thani</v>
          </cell>
        </row>
        <row r="77">
          <cell r="B77" t="str">
            <v>Uthai Thani</v>
          </cell>
        </row>
        <row r="78">
          <cell r="B78" t="str">
            <v>Uttaradit</v>
          </cell>
        </row>
        <row r="79">
          <cell r="B79" t="str">
            <v>Yala</v>
          </cell>
        </row>
        <row r="80">
          <cell r="B80" t="str">
            <v>Yasothon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ung" refreshedDate="46150.740615162038" backgroundQuery="1" createdVersion="8" refreshedVersion="8" minRefreshableVersion="3" recordCount="0" supportSubquery="1" supportAdvancedDrill="1" xr:uid="{425365EC-52DE-49D0-9E4A-C94A6526A4F1}">
  <cacheSource type="external" connectionId="1"/>
  <cacheFields count="3">
    <cacheField name="[Table1].[WIC Customer ID].[WIC Customer ID]" caption="WIC Customer ID" numFmtId="0" hierarchy="2" level="1">
      <sharedItems count="129">
        <s v="-"/>
        <s v="A-10990"/>
        <s v="A-11060"/>
        <s v="A-11360"/>
        <s v="A-11620"/>
        <s v="A-11710"/>
        <s v="A-11850"/>
        <s v="A-12100"/>
        <s v="A-12450"/>
        <s v="A-13220"/>
        <s v="A-14310"/>
        <s v="A-14471"/>
        <s v="A-14670"/>
        <s v="B-11530"/>
        <s v="B-11660"/>
        <s v="B-11970"/>
        <s v="B-12400"/>
        <s v="C-10680P"/>
        <s v="C-11740"/>
        <s v="C-1180"/>
        <s v="C-13650"/>
        <s v="C-15480"/>
        <s v="C-15490"/>
        <s v="C-15600"/>
        <s v="D-17040"/>
        <s v="D-17110"/>
        <s v="D-17330"/>
        <s v="D-175560"/>
        <s v="E-10640"/>
        <s v="E-11270"/>
        <s v="E-11280"/>
        <s v="F-10600"/>
        <s v="F-10670"/>
        <s v="F-10910"/>
        <s v="F-11010"/>
        <s v="F-11210"/>
        <s v="G-16180"/>
        <s v="G-16350"/>
        <s v="G-16380"/>
        <s v="H-10020"/>
        <s v="H-10622"/>
        <s v="I-10810"/>
        <s v="J-10270"/>
        <s v="J-10540"/>
        <s v="J-11140"/>
        <s v="K-10530"/>
        <s v="K-10850"/>
        <s v="K-11510"/>
        <s v="K-13370"/>
        <s v="K-13490"/>
        <s v="K-20410"/>
        <s v="K-20600"/>
        <s v="K-20700"/>
        <s v="L-10360"/>
        <s v="L-10530"/>
        <s v="L-11030"/>
        <s v="L-1110"/>
        <s v="M-10280"/>
        <s v="M-12590"/>
        <s v="M-12780"/>
        <s v="M-12800"/>
        <s v="M-12850"/>
        <s v="N-10760"/>
        <s v="N-10810"/>
        <s v="N-10920"/>
        <s v="N-11240"/>
        <s v="N-11620"/>
        <s v="N-11692"/>
        <s v="P-10300"/>
        <s v="P-10601"/>
        <s v="P-11001"/>
        <s v="P-11140"/>
        <s v="P-11141"/>
        <s v="P-11142"/>
        <s v="P-11145"/>
        <s v="P-11171"/>
        <s v="P-11521"/>
        <s v="P-13320"/>
        <s v="P-18320"/>
        <s v="R-11160"/>
        <s v="S-11570"/>
        <s v="S-11650"/>
        <s v="S-11740"/>
        <s v="S-11840"/>
        <s v="S-12070"/>
        <s v="S-120740"/>
        <s v="S-12830"/>
        <s v="S-13690"/>
        <s v="S-13740"/>
        <s v="S-14280"/>
        <s v="S-14390P"/>
        <s v="S-14460"/>
        <s v="S-15020"/>
        <s v="S-15300"/>
        <s v="S-15560"/>
        <s v="S-15670"/>
        <s v="S-15910"/>
        <s v="S-15970"/>
        <s v="S-16381"/>
        <s v="S-16440"/>
        <s v="S-17110"/>
        <s v="S-17590"/>
        <s v="S-17641"/>
        <s v="S-18130"/>
        <s v="T-10482"/>
        <s v="T-10600"/>
        <s v="T-10850"/>
        <s v="T-10860"/>
        <s v="T-10880"/>
        <s v="T-11180"/>
        <s v="T-11410"/>
        <s v="T-12940"/>
        <s v="T-12991"/>
        <s v="T-14170"/>
        <s v="T-14240"/>
        <s v="T-14291"/>
        <s v="T-14671"/>
        <s v="T-15335"/>
        <s v="T-15337"/>
        <s v="T-15671"/>
        <s v="T-15780"/>
        <s v="T-204350"/>
        <s v="T-204580"/>
        <s v="T-204710"/>
        <s v="T-204810"/>
        <s v="U-10620"/>
        <s v="U-11230"/>
        <s v="V-12000"/>
        <s v="W-10260"/>
      </sharedItems>
    </cacheField>
    <cacheField name="[Measures].[Count of WIC Customer ID]" caption="Count of WIC Customer ID" numFmtId="0" hierarchy="28" level="32767"/>
    <cacheField name="[Table1].[CUSTOMER NAME ชื่อ-บริษัท].[CUSTOMER NAME ชื่อ-บริษัท]" caption="CUSTOMER NAME ชื่อ-บริษัท" numFmtId="0" hierarchy="1" level="1">
      <sharedItems count="165">
        <s v="National Power Supply Public Company Limited"/>
        <s v="SCG PACKAGING PUBLIC COMPANY LIMITED"/>
        <s v="The Siam Cement Public Company Limited"/>
        <s v="เค เอส เอ็ม ซัพพลาย จำกัด"/>
        <s v="เค พี เอ็น กรีน จำกัด"/>
        <s v="เคที สตีมเทค  จำกัด"/>
        <s v="เคพีเอ็น กรีน เอ็นเนอจี โซลูชั่น จำกัด (มหาชน)"/>
        <s v="เคพีเอส แอพพลาย แอนด์ เซอร์วิส จำกัด"/>
        <s v="เบเยอร์ จำกัด"/>
        <s v="เพ็ทพัล โปรดักส์ จำกัด(มหาชน)"/>
        <s v="เพาเวอร์ไลน์ เอ็นจิเนียริ่ง จำกัด (มหาชน)"/>
        <s v="เอกอน แปซิฟิค จำกัด"/>
        <s v="เอทีพี อินโนเวชั่นส์ จำกัด"/>
        <s v="แซนเทค เทคโนโลยี จำกัด"/>
        <s v="โน ซีลิ่ง จำกัด"/>
        <s v="ชินชนะ ดินขาว จำกัด"/>
        <s v="ทานิตะ แฟบริเคชั่น"/>
        <s v="บริษัท เนชั่นแนล เพาเวอร์"/>
        <s v="บริษัท กัลฟ์ เอ็นเนอร์จี ดีเวลลอปเมนท์ จำกัด (มหาชน)"/>
        <s v="บริษัท สตาร์วู๊ด เคมีคอล จำกัด"/>
        <s v="บริษัท อินเตอร์ แปซิฟิค เปเปอร์ จำกัด"/>
        <s v="บริษัท อิมเมอรี่ส์ เซรามิคส์ (ประเทศไทย) จำกัด"/>
        <s v="ป.พานิชรุ่งเรือง ปาล์มออยล์ 5 จำกัด"/>
        <s v="พลังไทยผาสุก จำกัด"/>
        <s v="มาร์ส เพ็ทแคร์"/>
        <s v="รชตะ อินดัสเตรียล จำกัด"/>
        <s v="อายิโนะโมโต๊ะ กำแพงเพชร"/>
        <s v="อายิโน๊ะโมโต๊ะ สาขากำแพงเพชร"/>
        <s v="อุตสาหกรรมมิตรเกษตรกาญ จำกัด"/>
        <s v="บริษัท อะโกร ไฟเบอร์ จำกัด"/>
        <s v="บริษัท อันดามันซูริมิ อินดัสทรีส์ จำกัด"/>
        <s v="อาหารสากล จำกัด (มหาชน)"/>
        <s v="บริษัท เอลีท คราฟท์ เปเปอร์ จำกัด"/>
        <s v="บริษัท อนันดา อินโนเวชั่น จำกัด"/>
        <s v="บริษัท เอ็มเคเค เอเซีย จำกัด"/>
        <s v="น้ำตาลพิพย์สุโขทัย"/>
        <s v="บริษัท แอ๊ดวานซ์ เปเปอร์ มิลล์"/>
        <s v="ออลไพพ์ เน็ตเวิร์ค เอ็นจิเนียริ่ง จำกัด"/>
        <s v="บริษัท แอคเวล ระยอง (ประเทศไทย) จำกัด"/>
        <s v="บริษัท แอลซีบี เอสทีอาร์อาร์ จำกัด"/>
        <s v="เออีซี อินดัสเตรียล เซอร์วิส จำกัด"/>
        <s v="ไบโอเทคออยด์"/>
        <s v="บางกอกอินเตอร์ฟู๊ด"/>
        <s v="บริษัท บิ๊กแก๊ส เทคโนโลยี จำกัด"/>
        <s v="เบรฟ เทคโนโลยี จำกัด"/>
        <s v="คอพเพิร์นเอ็นจิเนียริ่ง จำกัด"/>
        <s v="บริษัท ไตรแองเกิล จำกัด"/>
        <s v="บริษัท ซีโก้ เซอร์วิสแอนด์เมนเทนแนนซ์ จำกัด"/>
        <s v="บริษัท ซีพี-เมจิ จำกัด"/>
        <s v="บริษัท ชยพล อินเตอร์เนชั่นแนล จำกัด"/>
        <s v="บริษัท  ซิตี้ เอ็นจิเนียริ่ง จำกัด  "/>
        <s v="บริษัท ซี.เค.อี.แอนด์ เอส. จำกัด"/>
        <s v="บริษัท ซี.เอ.เอส. เปเปอร์ มิลล์ จำกัด"/>
        <s v="Double A (1991) Public Company Limited"/>
        <s v="บริษัท ดั๊บเบิ้ล เอ (1991) จำกัด (มหาชน)"/>
        <s v="บริษัท ดี.พี.เทคไลน์ จำกัด"/>
        <s v="ดีมายเออร์ จำกัด"/>
        <s v="ดีไอซี สยามเคมีคอลอินดัสตรี้ จำกัด"/>
        <s v="เอ็กเพิร์ททีม จำกัด"/>
        <s v="บริษัท อี 85 จำกัด"/>
        <s v="บริษัทอี 85 จำกัด"/>
        <s v="บริษัท  อี อี เอส รีนิวเอเบิล จำกัด  "/>
        <s v="ฟินิคซ พัลพ แอนด์ เพเพอร์"/>
        <s v="ฟุกเฮงหลง เอ็นจิเนียริง จำกัด"/>
        <s v="บริษัท เฟมิน่าเลซไดย์เวิคร์คส จำกัด"/>
        <s v="โรงไฟฟ้าสุรินทร์ จำกัด"/>
        <s v="บริษัท  ฟิวเจอร์ กรีนเนอร์จี จำกัด  "/>
        <s v="โกลเด้นเธร็ด"/>
        <s v="จีจีซี เคทิส ไบโออินดัสเทรียล จำกัด"/>
        <s v="บริษัท โกลบอล อาร์แอนด์ดี จำกัด"/>
        <s v="เอชวีพลาส จำกัด"/>
        <s v="บริษัท อาโครม่า เท็กซ์ไทล์ เอฟเฟคส์ (ประเทศไทย) จำกัด"/>
        <s v="อิตัลไทย วิศวกรรมจำกัด"/>
        <s v="เจ้าคุณเกษตรพืชผล"/>
        <s v="จาร์ดีน เอ็นจิเนียริ่ง จำกัด"/>
        <s v="เจ.บี.แอล.สถาปัตย์ จำกัด"/>
        <s v="จันทร์เมือง เอ็นจิเนียริ่ง จำกัด"/>
        <s v="บริษัท แกมม่าเท็กซ์ไทล์แมนนูแฟคเจอริ่ง จำกัด"/>
        <s v="บริษัท กังวาลเท็กซ์ไทล์ จำกัด"/>
        <s v="กวิน วิศวกรรม (ประเทศไทย) จำกัด"/>
        <s v="คิคูชิ อินดัสทรี (ประเทศไทย) จำกัด"/>
        <s v="เค.เอส.ซี.เทคโนโลยี (ประเทศไทย) จำกัด"/>
        <s v="คุนหมิง ไลท์ อินดัสตรี้ จำกัด"/>
        <s v="กรุงเทพดุสิตเวชการ"/>
        <s v="เค ลิม  (ประเทศไทย) จำกัด"/>
        <s v="ก้าวหน้าเพาเวอ์ซัพพลาย จำกัด"/>
        <s v="บริษัท ไลอ้อน (ประเทศไทย) จำกัด"/>
        <s v="ล่ำสูง (ประเทศไทย) จํากัด (มหาชน)"/>
        <s v="แอลซี เทคโนโลยี จำกัด"/>
        <s v="Lenzing (Thailand) Co.,Ltd."/>
        <s v="เอ็ม.ไทยอินดัสเทรียล จำกัด"/>
        <s v="มินเนอรัล รีซอร์สเซส ดีเวลลอปเม้นท์ จำกัด"/>
        <s v="ไมโครเวิร์ค จำกัด"/>
        <s v="บริษัท แม่วงศ์ เอ็นเนอยี่ จำกัด"/>
        <s v="เอ็มพาวเวอร์สตีล"/>
        <s v="น้ำตาลเกษตรผล จำกัด"/>
        <s v="น้ำจาลบ้านโป่ง"/>
        <s v="บริษัท น้ำมันพืชปทุม จำกัด"/>
        <s v="บริษัท โนเบล เอ็นซี จำกัด"/>
        <s v="น้ำตาลพิษณุโลก จำกัด"/>
        <s v="บริษัท ดั๊บเบิ้ล เอ น้ำใส จำกัด"/>
        <s v="แป้งมันร้อยเอ็ด จำกัด"/>
        <s v="บริษัท โปลิโฟมราชบุรี จำกัด"/>
        <s v="บริษัท ปัญจพล พัลพ์ อินดัสตรี้ จำกัด (มหาชน)"/>
        <s v="ปูนซีเมนต์นครหลวง จำกัด (มหาชน) (ปูนแก่งคอย)"/>
        <s v="ปูนซิเมนต์ไทย จำกัด (ท่าหลวง)"/>
        <s v="ปูนซิเมนต์ไทย (ท่าหลวง) จำกัด (โรงงานเขาวง)"/>
        <s v="บริษัท ปูนซิเมนต์ไทย (ท่าหลวง) จำกัด"/>
        <s v="บริษัท  ผลิตภัณฑ์กระดาษไทย จำกัด"/>
        <s v="บมจ.พัฒน์กล"/>
        <s v="บริษัท ปทุมธานี บริวเวอรี่ จำกัด"/>
        <s v="พี.เอส.เพาเวอร์ลายส์ จำกัด"/>
        <s v="ร็อคเอ็นจิเนียริ่ง จำกัด"/>
        <s v="ส.ไพศาล สตีมบอยเลอร์  จำกัด"/>
        <s v="บริษัท ส.ศิริแสง จำกัด"/>
        <s v="บริษัท สก๊อตอินดัสเตรียล(ประเทศไทย) จำกัด"/>
        <s v="บริษัท สตาร์ พลัส เคมีคอล จำกัด"/>
        <s v="บริษัท สยาม พีวีเอส เคมิคอลส์ จำกัด"/>
        <s v="สยาม พีวีเอส เคมิคอลส์ จำกัด"/>
        <s v="บมจ.สหมิตรถังแก๊ส"/>
        <s v="บริษัท  น้ำใส 304 จำกัด"/>
        <s v="บริษัท น้ำใส 304 จำกัด"/>
        <s v="ทรัพย์ทิพย์"/>
        <s v="บริษัท เอส ที อาร์ อาร์ เอ็นจิเนียริ่ง จำกัด"/>
        <s v="ศรีศรันย์เอ็นจิเนียริ่ง จำกัด"/>
        <s v="บริษัท สยามราช จำกัด (มหาชน)"/>
        <s v="บริษัท แสงโสม จำกัด"/>
        <s v="บริษัท เชอร์วู้ด คอร์ปอเรชั่น(ประเทศไทย) จำกัด (มหาชน)"/>
        <s v="ซิปโซ่ ท๊อปปิคอล ดริ๊ง"/>
        <s v="สยามคราฟท์อุตสาหกรรม (SCG)"/>
        <s v="เซอร์โคโน จำกัด"/>
        <s v="บริษัท  เซลคอน จำกัด"/>
        <s v="บริษัท สิงห์ เบเวอเรช จำกัด"/>
        <s v="สุรีย์ อินเตอร์ฟู๊ด จำกัด"/>
        <s v="บริษัท สุราบางยี่ขัน จำกัด"/>
        <s v="บริษัท ซูพรีม ดีจีจี จำกัด"/>
        <s v="เอส ซี จี เซรามิกส์ จำกัด"/>
        <s v="บริษัท สยามราช จำกัด (มหาชน )"/>
        <s v="สุโขทัยเอ็นเนอร์ยี่ จำกัด"/>
        <s v="โรงงานทอผ้าเพชรเกษม โรงงาน3"/>
        <s v="ไทย เค บอยเลอร์ จำกัด"/>
        <s v="บริษัท ไทย อกริ ฟู้ดส์ จำกัด (มหาชน)"/>
        <s v="บริษัท ไทย อาซาฮี คาเซอิ สแปนเด็กซ์ จำกัด"/>
        <s v="บริษัท  ไทยเคนเปเปอร์ จำกัด"/>
        <s v="บริษัท ไทยแอลกอฮอล์ จำกัด (มหาชน)"/>
        <s v="Birla Carbon (Thailand) Public Company Limited"/>
        <s v="บริษัท เบอร์ล่า คาร์บอน(ไทยแลนด์) จำกัด (มหาชน)"/>
        <s v="ทีโอเอ - โดฟเคม อินดัสตรีส์ จำกัด"/>
        <s v="บริษัท ทีพีไอ โพลีน จำกัด (มหาชน)"/>
        <s v="บริษัท ไทยแทน ฟู้ดส์ อินเตอร์เนชั่นแนล จำกัด"/>
        <s v="เทคโน คูล (ประเทศไทย) จำกัด"/>
        <s v="ที เอส บี เหล็กกล้า"/>
        <s v="เทอร์เรค ไคนิเมติคส์ จำกัด"/>
        <s v="บริษัท ไทยเบฟเวอเรจ จำกัด (มหาชน)"/>
        <s v="บริษัท ไทยเบฟเวอเรจ เอ็นเนอร์ยี่ จำกัด"/>
        <s v="น้ำตาลไทยอุดร จำกัด"/>
        <s v="ที เอส อุตสาหกรรมน้ำมัน จำกัด"/>
        <s v="บริษัท ทีเอ็นบี คอร์ปอเรชั่น จำกัด"/>
        <s v="เคซี ไดน์เอ็นจิ้น จำกัด"/>
        <s v="บริษัท ทรัพย์รุ่งเรือง 978 เซอร์วิส จำกัด"/>
        <s v="บริษัท ไทยวอเตอร์ ฟิตติ้ง จำกัด"/>
        <s v="บริษัท อุตสาหกรรมโคราช จำกัด"/>
        <s v="บริษัท ยูนิวานิชน้ำมันปาล์ม จำกัด(มหาชน)"/>
        <s v="วังน้อยเบเวอเรซ จำกัด"/>
        <s v="วิศวกรรมและการโยธา สยามเทคนิค กรุ๊ป จำกัด"/>
      </sharedItems>
    </cacheField>
  </cacheFields>
  <cacheHierarchies count="29">
    <cacheHierarchy uniqueName="[Table1].[NO]" caption="NO" attribute="1" defaultMemberUniqueName="[Table1].[NO].[All]" allUniqueName="[Table1].[NO].[All]" dimensionUniqueName="[Table1]" displayFolder="" count="0" memberValueDatatype="20" unbalanced="0"/>
    <cacheHierarchy uniqueName="[Table1].[CUSTOMER NAME ชื่อ-บริษัท]" caption="CUSTOMER NAME ชื่อ-บริษัท" attribute="1" defaultMemberUniqueName="[Table1].[CUSTOMER NAME ชื่อ-บริษัท].[All]" allUniqueName="[Table1].[CUSTOMER NAME ชื่อ-บริษัท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WIC Customer ID]" caption="WIC Customer ID" attribute="1" defaultMemberUniqueName="[Table1].[WIC Customer ID].[All]" allUniqueName="[Table1].[WIC Customer 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USTOMER GRADE (Tier)]" caption="CUSTOMER GRADE (Tier)" attribute="1" defaultMemberUniqueName="[Table1].[CUSTOMER GRADE (Tier)].[All]" allUniqueName="[Table1].[CUSTOMER GRADE (Tier)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Registration Date]" caption="Registration Date" attribute="1" defaultMemberUniqueName="[Table1].[Registration Date].[All]" allUniqueName="[Table1].[Registration Date].[All]" dimensionUniqueName="[Table1]" displayFolder="" count="0" memberValueDatatype="130" unbalanced="0"/>
    <cacheHierarchy uniqueName="[Table1].[Sale Code]" caption="Sale Code" attribute="1" defaultMemberUniqueName="[Table1].[Sale Code].[All]" allUniqueName="[Table1].[Sale Code].[All]" dimensionUniqueName="[Table1]" displayFolder="" count="0" memberValueDatatype="130" unbalanced="0"/>
    <cacheHierarchy uniqueName="[Table1].[Team]" caption="Team" attribute="1" defaultMemberUniqueName="[Table1].[Team].[All]" allUniqueName="[Table1].[Team].[All]" dimensionUniqueName="[Table1]" displayFolder="" count="0" memberValueDatatype="130" unbalanced="0"/>
    <cacheHierarchy uniqueName="[Table1].[MONTH FORECAST เดือน]" caption="MONTH FORECAST เดือน" attribute="1" defaultMemberUniqueName="[Table1].[MONTH FORECAST เดือน].[All]" allUniqueName="[Table1].[MONTH FORECAST เดือน].[All]" dimensionUniqueName="[Table1]" displayFolder="" count="0" memberValueDatatype="20" unbalanced="0"/>
    <cacheHierarchy uniqueName="[Table1].[YEAR FORECAST ปี]" caption="YEAR FORECAST ปี" attribute="1" defaultMemberUniqueName="[Table1].[YEAR FORECAST ปี].[All]" allUniqueName="[Table1].[YEAR FORECAST ปี].[All]" dimensionUniqueName="[Table1]" displayFolder="" count="0" memberValueDatatype="20" unbalanced="0"/>
    <cacheHierarchy uniqueName="[Table1].[ZONE พื้นที่]" caption="ZONE พื้นที่" attribute="1" defaultMemberUniqueName="[Table1].[ZONE พื้นที่].[All]" allUniqueName="[Table1].[ZONE พื้นที่].[All]" dimensionUniqueName="[Table1]" displayFolder="" count="0" memberValueDatatype="130" unbalanced="0"/>
    <cacheHierarchy uniqueName="[Table1].[INDUSTRIAL TYPE ประเภทอุตสาหกรรม]" caption="INDUSTRIAL TYPE ประเภทอุตสาหกรรม" attribute="1" defaultMemberUniqueName="[Table1].[INDUSTRIAL TYPE ประเภทอุตสาหกรรม].[All]" allUniqueName="[Table1].[INDUSTRIAL TYPE ประเภทอุตสาหกรรม].[All]" dimensionUniqueName="[Table1]" displayFolder="" count="0" memberValueDatatype="130" unbalanced="0"/>
    <cacheHierarchy uniqueName="[Table1].[Product/Service]" caption="Product/Service" attribute="1" defaultMemberUniqueName="[Table1].[Product/Service].[All]" allUniqueName="[Table1].[Product/Service].[All]" dimensionUniqueName="[Table1]" displayFolder="" count="0" memberValueDatatype="130" unbalanced="0"/>
    <cacheHierarchy uniqueName="[Table1].[CONTACR  ผู้ติดต่อ]" caption="CONTACR  ผู้ติดต่อ" attribute="1" defaultMemberUniqueName="[Table1].[CONTACR  ผู้ติดต่อ].[All]" allUniqueName="[Table1].[CONTACR  ผู้ติดต่อ].[All]" dimensionUniqueName="[Table1]" displayFolder="" count="0" memberValueDatatype="130" unbalanced="0"/>
    <cacheHierarchy uniqueName="[Table1].[POSITION ตำแหน่ง]" caption="POSITION ตำแหน่ง" attribute="1" defaultMemberUniqueName="[Table1].[POSITION ตำแหน่ง].[All]" allUniqueName="[Table1].[POSITION ตำแหน่ง].[All]" dimensionUniqueName="[Table1]" displayFolder="" count="0" memberValueDatatype="130" unbalanced="0"/>
    <cacheHierarchy uniqueName="[Table1].[TELEPHONE]" caption="TELEPHONE" attribute="1" defaultMemberUniqueName="[Table1].[TELEPHONE].[All]" allUniqueName="[Table1].[TELEPHONE].[All]" dimensionUniqueName="[Table1]" displayFolder="" count="0" memberValueDatatype="130" unbalanced="0"/>
    <cacheHierarchy uniqueName="[Table1].[MOBILE]" caption="MOBILE" attribute="1" defaultMemberUniqueName="[Table1].[MOBILE].[All]" allUniqueName="[Table1].[MOBILE].[All]" dimensionUniqueName="[Table1]" displayFolder="" count="0" memberValueDatatype="130" unbalanced="0"/>
    <cacheHierarchy uniqueName="[Table1].[ID LINE]" caption="ID LINE" attribute="1" defaultMemberUniqueName="[Table1].[ID LINE].[All]" allUniqueName="[Table1].[ID LINE].[All]" dimensionUniqueName="[Table1]" displayFolder="" count="0" memberValueDatatype="130" unbalanced="0"/>
    <cacheHierarchy uniqueName="[Table1].[Line ID]" caption="Line ID" attribute="1" defaultMemberUniqueName="[Table1].[Line ID].[All]" allUniqueName="[Table1].[Line ID].[All]" dimensionUniqueName="[Table1]" displayFolder="" count="0" memberValueDatatype="130" unbalanced="0"/>
    <cacheHierarchy uniqueName="[Table1].[E-MAIL]" caption="E-MAIL" attribute="1" defaultMemberUniqueName="[Table1].[E-MAIL].[All]" allUniqueName="[Table1].[E-MAIL].[All]" dimensionUniqueName="[Table1]" displayFolder="" count="0" memberValueDatatype="130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Table1].[Address]" caption="Address" attribute="1" defaultMemberUniqueName="[Table1].[Address].[All]" allUniqueName="[Table1].[Address].[All]" dimensionUniqueName="[Table1]" displayFolder="" count="0" memberValueDatatype="130" unbalanced="0"/>
    <cacheHierarchy uniqueName="[Table1].[แขวง/ตำบล]" caption="แขวง/ตำบล" attribute="1" defaultMemberUniqueName="[Table1].[แขวง/ตำบล].[All]" allUniqueName="[Table1].[แขวง/ตำบล].[All]" dimensionUniqueName="[Table1]" displayFolder="" count="0" memberValueDatatype="130" unbalanced="0"/>
    <cacheHierarchy uniqueName="[Table1].[เขต/อำเภอ]" caption="เขต/อำเภอ" attribute="1" defaultMemberUniqueName="[Table1].[เขต/อำเภอ].[All]" allUniqueName="[Table1].[เขต/อำเภอ].[All]" dimensionUniqueName="[Table1]" displayFolder="" count="0" memberValueDatatype="130" unbalanced="0"/>
    <cacheHierarchy uniqueName="[Table1].[จังหวัด]" caption="จังหวัด" attribute="1" defaultMemberUniqueName="[Table1].[จังหวัด].[All]" allUniqueName="[Table1].[จังหวัด].[All]" dimensionUniqueName="[Table1]" displayFolder="" count="0" memberValueDatatype="130" unbalanced="0"/>
    <cacheHierarchy uniqueName="[Table1].[รหัสไปรษณีย์]" caption="รหัสไปรษณีย์" attribute="1" defaultMemberUniqueName="[Table1].[รหัสไปรษณีย์].[All]" allUniqueName="[Table1].[รหัสไปรษณีย์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WIC Customer ID]" caption="Count of WIC Customer 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200FC-BFBB-4A38-8734-36DEDCB5807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69" firstHeaderRow="1" firstDataRow="1" firstDataCol="2"/>
  <pivotFields count="3">
    <pivotField axis="axisRow" compact="0" allDrilled="1" outline="0" subtotalTop="0" showAll="0" dataSourceSort="1" defaultSubtotal="0" defaultAttributeDrillState="1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</items>
    </pivotField>
  </pivotFields>
  <rowFields count="2">
    <field x="0"/>
    <field x="2"/>
  </rowFields>
  <rowItems count="16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1"/>
      <x v="29"/>
    </i>
    <i>
      <x v="2"/>
      <x v="30"/>
    </i>
    <i>
      <x v="3"/>
      <x v="31"/>
    </i>
    <i>
      <x v="4"/>
      <x v="32"/>
    </i>
    <i>
      <x v="5"/>
      <x v="33"/>
    </i>
    <i>
      <x v="6"/>
      <x v="34"/>
    </i>
    <i>
      <x v="7"/>
      <x v="35"/>
    </i>
    <i>
      <x v="8"/>
      <x v="36"/>
    </i>
    <i>
      <x v="9"/>
      <x v="37"/>
    </i>
    <i>
      <x v="10"/>
      <x v="38"/>
    </i>
    <i>
      <x v="11"/>
      <x v="39"/>
    </i>
    <i>
      <x v="12"/>
      <x v="40"/>
    </i>
    <i>
      <x v="13"/>
      <x v="41"/>
    </i>
    <i>
      <x v="14"/>
      <x v="42"/>
    </i>
    <i>
      <x v="15"/>
      <x v="43"/>
    </i>
    <i>
      <x v="16"/>
      <x v="44"/>
    </i>
    <i>
      <x v="17"/>
      <x v="45"/>
    </i>
    <i>
      <x v="18"/>
      <x v="46"/>
    </i>
    <i r="1">
      <x v="47"/>
    </i>
    <i>
      <x v="19"/>
      <x v="48"/>
    </i>
    <i>
      <x v="20"/>
      <x v="49"/>
    </i>
    <i>
      <x v="21"/>
      <x v="50"/>
    </i>
    <i>
      <x v="22"/>
      <x v="51"/>
    </i>
    <i>
      <x v="23"/>
      <x v="52"/>
    </i>
    <i>
      <x v="24"/>
      <x v="53"/>
    </i>
    <i r="1">
      <x v="54"/>
    </i>
    <i>
      <x v="25"/>
      <x v="55"/>
    </i>
    <i>
      <x v="26"/>
      <x v="56"/>
    </i>
    <i>
      <x v="27"/>
      <x v="57"/>
    </i>
    <i>
      <x v="28"/>
      <x v="58"/>
    </i>
    <i>
      <x v="29"/>
      <x v="59"/>
    </i>
    <i r="1">
      <x v="60"/>
    </i>
    <i>
      <x v="30"/>
      <x v="61"/>
    </i>
    <i>
      <x v="31"/>
      <x v="62"/>
    </i>
    <i>
      <x v="32"/>
      <x v="63"/>
    </i>
    <i>
      <x v="33"/>
      <x v="64"/>
    </i>
    <i>
      <x v="34"/>
      <x v="65"/>
    </i>
    <i>
      <x v="35"/>
      <x v="66"/>
    </i>
    <i>
      <x v="36"/>
      <x v="67"/>
    </i>
    <i>
      <x v="37"/>
      <x v="68"/>
    </i>
    <i>
      <x v="38"/>
      <x v="69"/>
    </i>
    <i>
      <x v="39"/>
      <x v="70"/>
    </i>
    <i>
      <x v="40"/>
      <x v="71"/>
    </i>
    <i>
      <x v="41"/>
      <x v="72"/>
    </i>
    <i>
      <x v="42"/>
      <x v="73"/>
    </i>
    <i>
      <x v="43"/>
      <x v="74"/>
    </i>
    <i>
      <x v="44"/>
      <x v="75"/>
    </i>
    <i r="1">
      <x v="76"/>
    </i>
    <i>
      <x v="45"/>
      <x v="77"/>
    </i>
    <i>
      <x v="46"/>
      <x v="78"/>
    </i>
    <i>
      <x v="47"/>
      <x v="79"/>
    </i>
    <i r="1">
      <x v="80"/>
    </i>
    <i>
      <x v="48"/>
      <x v="81"/>
    </i>
    <i>
      <x v="49"/>
      <x v="82"/>
    </i>
    <i>
      <x v="50"/>
      <x v="83"/>
    </i>
    <i>
      <x v="51"/>
      <x v="84"/>
    </i>
    <i>
      <x v="52"/>
      <x v="85"/>
    </i>
    <i>
      <x v="53"/>
      <x v="86"/>
    </i>
    <i>
      <x v="54"/>
      <x v="87"/>
    </i>
    <i>
      <x v="55"/>
      <x v="88"/>
    </i>
    <i>
      <x v="56"/>
      <x v="89"/>
    </i>
    <i>
      <x v="57"/>
      <x v="90"/>
    </i>
    <i>
      <x v="58"/>
      <x v="91"/>
    </i>
    <i>
      <x v="59"/>
      <x v="92"/>
    </i>
    <i>
      <x v="60"/>
      <x v="93"/>
    </i>
    <i>
      <x v="61"/>
      <x v="94"/>
    </i>
    <i>
      <x v="62"/>
      <x v="95"/>
    </i>
    <i>
      <x v="63"/>
      <x v="96"/>
    </i>
    <i>
      <x v="64"/>
      <x v="97"/>
    </i>
    <i>
      <x v="65"/>
      <x v="98"/>
    </i>
    <i>
      <x v="66"/>
      <x v="99"/>
    </i>
    <i>
      <x v="67"/>
      <x v="100"/>
    </i>
    <i>
      <x v="68"/>
      <x v="101"/>
    </i>
    <i>
      <x v="69"/>
      <x v="102"/>
    </i>
    <i>
      <x v="70"/>
      <x v="103"/>
    </i>
    <i>
      <x v="71"/>
      <x v="104"/>
    </i>
    <i>
      <x v="72"/>
      <x v="105"/>
    </i>
    <i>
      <x v="73"/>
      <x v="106"/>
    </i>
    <i>
      <x v="74"/>
      <x v="107"/>
    </i>
    <i>
      <x v="75"/>
      <x v="108"/>
    </i>
    <i>
      <x v="76"/>
      <x v="109"/>
    </i>
    <i>
      <x v="77"/>
      <x v="110"/>
    </i>
    <i>
      <x v="78"/>
      <x v="111"/>
    </i>
    <i>
      <x v="79"/>
      <x v="112"/>
    </i>
    <i>
      <x v="80"/>
      <x v="113"/>
    </i>
    <i>
      <x v="81"/>
      <x v="114"/>
    </i>
    <i>
      <x v="82"/>
      <x v="115"/>
    </i>
    <i>
      <x v="83"/>
      <x v="116"/>
    </i>
    <i>
      <x v="84"/>
      <x v="117"/>
    </i>
    <i>
      <x v="85"/>
      <x v="118"/>
    </i>
    <i>
      <x v="86"/>
      <x v="119"/>
    </i>
    <i>
      <x v="87"/>
      <x v="120"/>
    </i>
    <i r="1">
      <x v="121"/>
    </i>
    <i>
      <x v="88"/>
      <x v="122"/>
    </i>
    <i>
      <x v="89"/>
      <x v="123"/>
    </i>
    <i>
      <x v="90"/>
      <x v="124"/>
    </i>
    <i>
      <x v="91"/>
      <x v="125"/>
    </i>
    <i>
      <x v="92"/>
      <x v="126"/>
    </i>
    <i>
      <x v="93"/>
      <x v="127"/>
    </i>
    <i>
      <x v="94"/>
      <x v="128"/>
    </i>
    <i>
      <x v="95"/>
      <x v="129"/>
    </i>
    <i>
      <x v="96"/>
      <x v="130"/>
    </i>
    <i>
      <x v="97"/>
      <x v="131"/>
    </i>
    <i>
      <x v="98"/>
      <x v="132"/>
    </i>
    <i>
      <x v="99"/>
      <x v="133"/>
    </i>
    <i>
      <x v="100"/>
      <x v="134"/>
    </i>
    <i>
      <x v="101"/>
      <x v="135"/>
    </i>
    <i>
      <x v="102"/>
      <x v="136"/>
    </i>
    <i r="1">
      <x v="137"/>
    </i>
    <i>
      <x v="103"/>
      <x v="138"/>
    </i>
    <i>
      <x v="104"/>
      <x v="139"/>
    </i>
    <i>
      <x v="105"/>
      <x v="140"/>
    </i>
    <i>
      <x v="106"/>
      <x v="141"/>
    </i>
    <i>
      <x v="107"/>
      <x v="142"/>
    </i>
    <i>
      <x v="108"/>
      <x v="143"/>
    </i>
    <i>
      <x v="109"/>
      <x v="144"/>
    </i>
    <i>
      <x v="110"/>
      <x v="145"/>
    </i>
    <i r="1">
      <x v="146"/>
    </i>
    <i>
      <x v="111"/>
      <x v="147"/>
    </i>
    <i>
      <x v="112"/>
      <x v="148"/>
    </i>
    <i>
      <x v="113"/>
      <x v="149"/>
    </i>
    <i>
      <x v="114"/>
      <x v="150"/>
    </i>
    <i>
      <x v="115"/>
      <x v="151"/>
    </i>
    <i>
      <x v="116"/>
      <x v="152"/>
    </i>
    <i>
      <x v="117"/>
      <x v="153"/>
    </i>
    <i>
      <x v="118"/>
      <x v="154"/>
    </i>
    <i>
      <x v="119"/>
      <x v="155"/>
    </i>
    <i>
      <x v="120"/>
      <x v="156"/>
    </i>
    <i>
      <x v="121"/>
      <x v="157"/>
    </i>
    <i>
      <x v="122"/>
      <x v="158"/>
    </i>
    <i>
      <x v="123"/>
      <x v="159"/>
    </i>
    <i>
      <x v="124"/>
      <x v="160"/>
    </i>
    <i>
      <x v="125"/>
      <x v="161"/>
    </i>
    <i>
      <x v="126"/>
      <x v="162"/>
    </i>
    <i>
      <x v="127"/>
      <x v="163"/>
    </i>
    <i>
      <x v="128"/>
      <x v="164"/>
    </i>
    <i t="grand">
      <x/>
    </i>
  </rowItems>
  <colItems count="1">
    <i/>
  </colItems>
  <dataFields count="1">
    <dataField name="Count of WIC Customer ID" fld="1" subtotal="count" baseField="0" baseItem="0"/>
  </dataFields>
  <formats count="14">
    <format dxfId="14">
      <pivotArea collapsedLevelsAreSubtotals="1" fieldPosition="0">
        <references count="1">
          <reference field="0" count="1">
            <x v="24"/>
          </reference>
        </references>
      </pivotArea>
    </format>
    <format dxfId="13">
      <pivotArea dataOnly="0" labelOnly="1" fieldPosition="0">
        <references count="1">
          <reference field="0" count="1">
            <x v="24"/>
          </reference>
        </references>
      </pivotArea>
    </format>
    <format dxfId="12">
      <pivotArea collapsedLevelsAreSubtotals="1" fieldPosition="0">
        <references count="1">
          <reference field="0" count="1">
            <x v="18"/>
          </reference>
        </references>
      </pivotArea>
    </format>
    <format dxfId="11">
      <pivotArea dataOnly="0" labelOnly="1" fieldPosition="0">
        <references count="1">
          <reference field="0" count="1">
            <x v="18"/>
          </reference>
        </references>
      </pivotArea>
    </format>
    <format dxfId="10">
      <pivotArea collapsedLevelsAreSubtotals="1" fieldPosition="0">
        <references count="1">
          <reference field="0" count="1">
            <x v="44"/>
          </reference>
        </references>
      </pivotArea>
    </format>
    <format dxfId="9">
      <pivotArea dataOnly="0" labelOnly="1" fieldPosition="0">
        <references count="1">
          <reference field="0" count="1">
            <x v="44"/>
          </reference>
        </references>
      </pivotArea>
    </format>
    <format dxfId="8">
      <pivotArea collapsedLevelsAreSubtotals="1" fieldPosition="0">
        <references count="1">
          <reference field="0" count="1">
            <x v="47"/>
          </reference>
        </references>
      </pivotArea>
    </format>
    <format dxfId="7">
      <pivotArea dataOnly="0" labelOnly="1" fieldPosition="0">
        <references count="1">
          <reference field="0" count="1">
            <x v="47"/>
          </reference>
        </references>
      </pivotArea>
    </format>
    <format dxfId="6">
      <pivotArea collapsedLevelsAreSubtotals="1" fieldPosition="0">
        <references count="1">
          <reference field="0" count="1">
            <x v="87"/>
          </reference>
        </references>
      </pivotArea>
    </format>
    <format dxfId="5">
      <pivotArea dataOnly="0" labelOnly="1" fieldPosition="0">
        <references count="1">
          <reference field="0" count="1">
            <x v="87"/>
          </reference>
        </references>
      </pivotArea>
    </format>
    <format dxfId="4">
      <pivotArea collapsedLevelsAreSubtotals="1" fieldPosition="0">
        <references count="1">
          <reference field="0" count="1">
            <x v="102"/>
          </reference>
        </references>
      </pivotArea>
    </format>
    <format dxfId="3">
      <pivotArea dataOnly="0" labelOnly="1" fieldPosition="0">
        <references count="1">
          <reference field="0" count="1">
            <x v="102"/>
          </reference>
        </references>
      </pivotArea>
    </format>
    <format dxfId="2">
      <pivotArea dataOnly="0" labelOnly="1" outline="0" fieldPosition="0">
        <references count="1">
          <reference field="0" count="1">
            <x v="87"/>
          </reference>
        </references>
      </pivotArea>
    </format>
    <format dxfId="1">
      <pivotArea dataOnly="0" labelOnly="1" outline="0" fieldPosition="0">
        <references count="2">
          <reference field="0" count="1" selected="0">
            <x v="87"/>
          </reference>
          <reference field="2" count="2">
            <x v="120"/>
            <x v="121"/>
          </reference>
        </references>
      </pivotArea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IC TSK Team_08.05.69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2F7A28-F12E-4D88-AE0B-E9F4FD46065B}" name="Table1" displayName="Table1" ref="A2:Z168" totalsRowShown="0" headerRowDxfId="0" tableBorderDxfId="39">
  <autoFilter ref="A2:Z168" xr:uid="{00000000-0001-0000-0000-000000000000}"/>
  <tableColumns count="26">
    <tableColumn id="1" xr3:uid="{7318255E-5269-4ED9-BF43-A3192DD01235}" name="NO" dataDxfId="38"/>
    <tableColumn id="2" xr3:uid="{BA1485CD-4649-49BE-896D-028974E7517D}" name="CUSTOMER NAME_x000a_ชื่อ-บริษัท" dataDxfId="37"/>
    <tableColumn id="3" xr3:uid="{78B3047C-2D9D-400B-AF4E-6FC9470BA0D5}" name="WIC Customer ID" dataDxfId="36"/>
    <tableColumn id="4" xr3:uid="{646D7119-0CFC-4492-BD82-B599256B55EA}" name="CUSTOMER GRADE (Tier)" dataDxfId="35"/>
    <tableColumn id="5" xr3:uid="{81EFFC98-1DFC-4931-8974-CBAEF1B90E91}" name="Status" dataDxfId="34"/>
    <tableColumn id="6" xr3:uid="{AB0656DD-6806-476A-85A7-8B276F830A4B}" name="Registration Date" dataDxfId="33"/>
    <tableColumn id="7" xr3:uid="{A2198A37-8104-4309-B0AD-4704E937173E}" name="Sale Code" dataDxfId="32"/>
    <tableColumn id="8" xr3:uid="{58ED67F1-2C68-4858-B9ED-DCB0BAC81578}" name="Team" dataDxfId="31"/>
    <tableColumn id="9" xr3:uid="{D1CA7739-A96F-44FA-854C-5D57E846353B}" name="MONTH FORECAST_x000a_เดือน" dataDxfId="30" dataCellStyle="Comma"/>
    <tableColumn id="10" xr3:uid="{EC3D778E-E1BE-4D14-9DB5-147C4A58DCDA}" name="YEAR FORECAST_x000a_ปี " dataDxfId="29" dataCellStyle="Comma"/>
    <tableColumn id="11" xr3:uid="{94AA84ED-857A-40B1-8A79-B17676B952E8}" name="ZONE_x000a_พื้นที่" dataDxfId="28"/>
    <tableColumn id="12" xr3:uid="{E71D219A-CB8A-43D7-8CC7-D22BFADBC159}" name="INDUSTRIAL TYPE_x000a_ประเภทอุตสาหกรรม" dataDxfId="27"/>
    <tableColumn id="13" xr3:uid="{0053B35A-D903-4AD6-A9EE-4C8DEB00CF33}" name="Product/Service" dataDxfId="26"/>
    <tableColumn id="14" xr3:uid="{19949B85-90BC-4FB0-8122-C98225DCA280}" name="CONTACR  ผู้ติดต่อ" dataDxfId="25"/>
    <tableColumn id="15" xr3:uid="{ED6B6883-EFDB-45A6-AAC7-A959DD1C6162}" name="POSITION_x000a_ตำแหน่ง" dataDxfId="24"/>
    <tableColumn id="16" xr3:uid="{DCA9C9A0-EEF4-4A39-A48C-347D862D72ED}" name="TELEPHONE"/>
    <tableColumn id="17" xr3:uid="{DAAFD70B-C624-472A-A524-F4DC220F2F10}" name="MOBILE"/>
    <tableColumn id="18" xr3:uid="{5870FF1A-65A8-4D98-BFFA-2369ED098224}" name="ID LINE" dataDxfId="23"/>
    <tableColumn id="19" xr3:uid="{825E33E9-C485-438E-8A85-D8CB94A1923C}" name="Line ID" dataDxfId="22"/>
    <tableColumn id="20" xr3:uid="{C62943F3-6BB5-47AB-88EA-88E6DCAF32F4}" name="E-MAIL" dataDxfId="21" dataCellStyle="Hyperlink"/>
    <tableColumn id="21" xr3:uid="{700902F6-FFB5-4082-918D-B5FF10242C86}" name="Column1" dataDxfId="20" dataCellStyle="Comma"/>
    <tableColumn id="22" xr3:uid="{F021EE12-56A7-449A-87E6-9C7AC94541AA}" name="Address" dataDxfId="19"/>
    <tableColumn id="23" xr3:uid="{CBC4D37B-2582-4CB4-BA89-2131ACC6EBD4}" name="แขวง/ตำบล" dataDxfId="18"/>
    <tableColumn id="24" xr3:uid="{A7533035-E536-48CA-AAF4-D6590480DA86}" name="เขต/อำเภอ" dataDxfId="17"/>
    <tableColumn id="25" xr3:uid="{5D8B25D1-F20A-4035-9656-C0ADE77DD396}" name="จังหวัด" dataDxfId="16"/>
    <tableColumn id="26" xr3:uid="{4E269D27-5088-4D08-A212-7BCF532561C0}" name="รหัสไปรษณีย์" dataDxfId="1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itsupa.si@demier.net" TargetMode="External"/><Relationship Id="rId13" Type="http://schemas.openxmlformats.org/officeDocument/2006/relationships/hyperlink" Target="mailto:wisanu.t@aecis.co.th" TargetMode="External"/><Relationship Id="rId18" Type="http://schemas.openxmlformats.org/officeDocument/2006/relationships/hyperlink" Target="mailto:PUTTACHAI.LUESAK@siamcitycement.com" TargetMode="External"/><Relationship Id="rId3" Type="http://schemas.openxmlformats.org/officeDocument/2006/relationships/hyperlink" Target="mailto:rungfa.ni@strr.co.th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kwanchaichaisri@gmail.com" TargetMode="External"/><Relationship Id="rId12" Type="http://schemas.openxmlformats.org/officeDocument/2006/relationships/hyperlink" Target="mailto:phongphat.du@th.jec.com" TargetMode="External"/><Relationship Id="rId17" Type="http://schemas.openxmlformats.org/officeDocument/2006/relationships/hyperlink" Target="mailto:tonza.engii@gmail.com" TargetMode="External"/><Relationship Id="rId2" Type="http://schemas.openxmlformats.org/officeDocument/2006/relationships/hyperlink" Target="mailto:chanachn@scg.com" TargetMode="External"/><Relationship Id="rId16" Type="http://schemas.openxmlformats.org/officeDocument/2006/relationships/hyperlink" Target="mailto:sipso@hotmail.co.th" TargetMode="External"/><Relationship Id="rId20" Type="http://schemas.openxmlformats.org/officeDocument/2006/relationships/hyperlink" Target="mailto:yuwadee@tusm.thaisugarmill.com" TargetMode="External"/><Relationship Id="rId1" Type="http://schemas.openxmlformats.org/officeDocument/2006/relationships/hyperlink" Target="mailto:manit.war@adityabirla.com" TargetMode="External"/><Relationship Id="rId6" Type="http://schemas.openxmlformats.org/officeDocument/2006/relationships/hyperlink" Target="mailto:supatphong.thongpimo@adityabirla.com" TargetMode="External"/><Relationship Id="rId11" Type="http://schemas.openxmlformats.org/officeDocument/2006/relationships/hyperlink" Target="mailto:PIPHAT@stpsteel.co.th" TargetMode="External"/><Relationship Id="rId5" Type="http://schemas.openxmlformats.org/officeDocument/2006/relationships/hyperlink" Target="mailto:warinthip.ch@strr.co.th" TargetMode="External"/><Relationship Id="rId15" Type="http://schemas.openxmlformats.org/officeDocument/2006/relationships/hyperlink" Target="mailto:jaruwat@smpcplc.com" TargetMode="External"/><Relationship Id="rId10" Type="http://schemas.openxmlformats.org/officeDocument/2006/relationships/hyperlink" Target="mailto:kitpokin@rock-engineering.net" TargetMode="External"/><Relationship Id="rId19" Type="http://schemas.openxmlformats.org/officeDocument/2006/relationships/hyperlink" Target="mailto:Spbboiler@gmail.com" TargetMode="External"/><Relationship Id="rId4" Type="http://schemas.openxmlformats.org/officeDocument/2006/relationships/hyperlink" Target="mailto:benjawan.ja@strr.co.th" TargetMode="External"/><Relationship Id="rId9" Type="http://schemas.openxmlformats.org/officeDocument/2006/relationships/hyperlink" Target="mailto:thitichayaporn@italthaiengineering.com" TargetMode="External"/><Relationship Id="rId14" Type="http://schemas.openxmlformats.org/officeDocument/2006/relationships/hyperlink" Target="mailto:procurement.klim@gmail.com" TargetMode="External"/><Relationship Id="rId22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enjawan.ja@strr.co.th" TargetMode="External"/><Relationship Id="rId2" Type="http://schemas.openxmlformats.org/officeDocument/2006/relationships/hyperlink" Target="mailto:rungfa.ni@strr.co.th" TargetMode="External"/><Relationship Id="rId1" Type="http://schemas.openxmlformats.org/officeDocument/2006/relationships/hyperlink" Target="mailto:supatphong.thongpimo@adityabirla.com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mailto:kwanchaichaisri@gmail.com" TargetMode="External"/><Relationship Id="rId4" Type="http://schemas.openxmlformats.org/officeDocument/2006/relationships/hyperlink" Target="mailto:warinthip.ch@strr.co.th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phongphat.du@th.jec.com" TargetMode="External"/><Relationship Id="rId13" Type="http://schemas.openxmlformats.org/officeDocument/2006/relationships/hyperlink" Target="mailto:yuwadee@tusm.thaisugarmill.com" TargetMode="External"/><Relationship Id="rId3" Type="http://schemas.openxmlformats.org/officeDocument/2006/relationships/hyperlink" Target="mailto:kitpokin@rock-engineering.net" TargetMode="External"/><Relationship Id="rId7" Type="http://schemas.openxmlformats.org/officeDocument/2006/relationships/hyperlink" Target="mailto:PIPHAT@stpsteel.co.th" TargetMode="External"/><Relationship Id="rId12" Type="http://schemas.openxmlformats.org/officeDocument/2006/relationships/hyperlink" Target="mailto:Spbboiler@gmail.com" TargetMode="External"/><Relationship Id="rId2" Type="http://schemas.openxmlformats.org/officeDocument/2006/relationships/hyperlink" Target="mailto:thitichayaporn@italthaiengineering.com" TargetMode="External"/><Relationship Id="rId1" Type="http://schemas.openxmlformats.org/officeDocument/2006/relationships/hyperlink" Target="mailto:jitsupa.si@demier.net" TargetMode="External"/><Relationship Id="rId6" Type="http://schemas.openxmlformats.org/officeDocument/2006/relationships/hyperlink" Target="mailto:tonza.engii@gmail.com" TargetMode="External"/><Relationship Id="rId11" Type="http://schemas.openxmlformats.org/officeDocument/2006/relationships/hyperlink" Target="mailto:PUTTACHAI.LUESAK@siamcitycement.com" TargetMode="External"/><Relationship Id="rId5" Type="http://schemas.openxmlformats.org/officeDocument/2006/relationships/hyperlink" Target="mailto:sipso@hotmail.co.th" TargetMode="External"/><Relationship Id="rId10" Type="http://schemas.openxmlformats.org/officeDocument/2006/relationships/hyperlink" Target="mailto:procurement.klim@gmail.com" TargetMode="External"/><Relationship Id="rId4" Type="http://schemas.openxmlformats.org/officeDocument/2006/relationships/hyperlink" Target="mailto:jaruwat@smpcplc.com" TargetMode="External"/><Relationship Id="rId9" Type="http://schemas.openxmlformats.org/officeDocument/2006/relationships/hyperlink" Target="mailto:wisanu.t@aecis.co.th" TargetMode="External"/><Relationship Id="rId1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3660-9B1A-45CD-BF27-3A2BCF6B5892}">
  <dimension ref="A3:C169"/>
  <sheetViews>
    <sheetView topLeftCell="A25" workbookViewId="0">
      <selection activeCell="D33" sqref="D33"/>
    </sheetView>
  </sheetViews>
  <sheetFormatPr defaultRowHeight="12.75"/>
  <cols>
    <col min="1" max="1" width="48.42578125" bestFit="1" customWidth="1"/>
    <col min="2" max="2" width="44.42578125" bestFit="1" customWidth="1"/>
    <col min="3" max="3" width="23.7109375" bestFit="1" customWidth="1"/>
  </cols>
  <sheetData>
    <row r="3" spans="1:3">
      <c r="A3" s="308" t="s">
        <v>710</v>
      </c>
      <c r="B3" s="308" t="s">
        <v>875</v>
      </c>
      <c r="C3" t="s">
        <v>861</v>
      </c>
    </row>
    <row r="4" spans="1:3">
      <c r="A4" t="s">
        <v>467</v>
      </c>
      <c r="B4" t="s">
        <v>862</v>
      </c>
      <c r="C4">
        <v>1</v>
      </c>
    </row>
    <row r="5" spans="1:3">
      <c r="B5" t="s">
        <v>38</v>
      </c>
      <c r="C5">
        <v>1</v>
      </c>
    </row>
    <row r="6" spans="1:3">
      <c r="B6" t="s">
        <v>74</v>
      </c>
      <c r="C6">
        <v>1</v>
      </c>
    </row>
    <row r="7" spans="1:3">
      <c r="B7" t="s">
        <v>531</v>
      </c>
      <c r="C7">
        <v>1</v>
      </c>
    </row>
    <row r="8" spans="1:3">
      <c r="B8" t="s">
        <v>534</v>
      </c>
      <c r="C8">
        <v>1</v>
      </c>
    </row>
    <row r="9" spans="1:3">
      <c r="B9" t="s">
        <v>536</v>
      </c>
      <c r="C9">
        <v>1</v>
      </c>
    </row>
    <row r="10" spans="1:3">
      <c r="B10" t="s">
        <v>622</v>
      </c>
      <c r="C10">
        <v>1</v>
      </c>
    </row>
    <row r="11" spans="1:3">
      <c r="B11" t="s">
        <v>528</v>
      </c>
      <c r="C11">
        <v>1</v>
      </c>
    </row>
    <row r="12" spans="1:3">
      <c r="B12" t="s">
        <v>572</v>
      </c>
      <c r="C12">
        <v>1</v>
      </c>
    </row>
    <row r="13" spans="1:3">
      <c r="B13" t="s">
        <v>645</v>
      </c>
      <c r="C13">
        <v>1</v>
      </c>
    </row>
    <row r="14" spans="1:3">
      <c r="B14" t="s">
        <v>472</v>
      </c>
      <c r="C14">
        <v>1</v>
      </c>
    </row>
    <row r="15" spans="1:3">
      <c r="B15" t="s">
        <v>499</v>
      </c>
      <c r="C15">
        <v>1</v>
      </c>
    </row>
    <row r="16" spans="1:3">
      <c r="B16" t="s">
        <v>863</v>
      </c>
      <c r="C16">
        <v>1</v>
      </c>
    </row>
    <row r="17" spans="2:3">
      <c r="B17" t="s">
        <v>542</v>
      </c>
      <c r="C17">
        <v>1</v>
      </c>
    </row>
    <row r="18" spans="2:3">
      <c r="B18" t="s">
        <v>520</v>
      </c>
      <c r="C18">
        <v>1</v>
      </c>
    </row>
    <row r="19" spans="2:3">
      <c r="B19" t="s">
        <v>667</v>
      </c>
      <c r="C19">
        <v>1</v>
      </c>
    </row>
    <row r="20" spans="2:3">
      <c r="B20" t="s">
        <v>638</v>
      </c>
      <c r="C20">
        <v>1</v>
      </c>
    </row>
    <row r="21" spans="2:3">
      <c r="B21" t="s">
        <v>864</v>
      </c>
      <c r="C21">
        <v>1</v>
      </c>
    </row>
    <row r="22" spans="2:3">
      <c r="B22" t="s">
        <v>865</v>
      </c>
      <c r="C22">
        <v>1</v>
      </c>
    </row>
    <row r="23" spans="2:3">
      <c r="B23" t="s">
        <v>275</v>
      </c>
      <c r="C23">
        <v>1</v>
      </c>
    </row>
    <row r="24" spans="2:3">
      <c r="B24" t="s">
        <v>328</v>
      </c>
      <c r="C24">
        <v>1</v>
      </c>
    </row>
    <row r="25" spans="2:3">
      <c r="B25" t="s">
        <v>276</v>
      </c>
      <c r="C25">
        <v>1</v>
      </c>
    </row>
    <row r="26" spans="2:3">
      <c r="B26" t="s">
        <v>656</v>
      </c>
      <c r="C26">
        <v>1</v>
      </c>
    </row>
    <row r="27" spans="2:3">
      <c r="B27" t="s">
        <v>615</v>
      </c>
      <c r="C27">
        <v>1</v>
      </c>
    </row>
    <row r="28" spans="2:3">
      <c r="B28" t="s">
        <v>866</v>
      </c>
      <c r="C28">
        <v>1</v>
      </c>
    </row>
    <row r="29" spans="2:3">
      <c r="B29" t="s">
        <v>508</v>
      </c>
      <c r="C29">
        <v>1</v>
      </c>
    </row>
    <row r="30" spans="2:3">
      <c r="B30" t="s">
        <v>867</v>
      </c>
      <c r="C30">
        <v>1</v>
      </c>
    </row>
    <row r="31" spans="2:3">
      <c r="B31" t="s">
        <v>676</v>
      </c>
      <c r="C31">
        <v>1</v>
      </c>
    </row>
    <row r="32" spans="2:3">
      <c r="B32" t="s">
        <v>600</v>
      </c>
      <c r="C32">
        <v>1</v>
      </c>
    </row>
    <row r="33" spans="1:3">
      <c r="A33" t="s">
        <v>848</v>
      </c>
      <c r="B33" t="s">
        <v>393</v>
      </c>
      <c r="C33">
        <v>1</v>
      </c>
    </row>
    <row r="34" spans="1:3">
      <c r="A34" t="s">
        <v>850</v>
      </c>
      <c r="B34" t="s">
        <v>316</v>
      </c>
      <c r="C34">
        <v>1</v>
      </c>
    </row>
    <row r="35" spans="1:3">
      <c r="A35" t="s">
        <v>819</v>
      </c>
      <c r="B35" t="s">
        <v>628</v>
      </c>
      <c r="C35">
        <v>1</v>
      </c>
    </row>
    <row r="36" spans="1:3">
      <c r="A36" t="s">
        <v>729</v>
      </c>
      <c r="B36" t="s">
        <v>335</v>
      </c>
      <c r="C36">
        <v>1</v>
      </c>
    </row>
    <row r="37" spans="1:3">
      <c r="A37" t="s">
        <v>730</v>
      </c>
      <c r="B37" t="s">
        <v>168</v>
      </c>
      <c r="C37">
        <v>1</v>
      </c>
    </row>
    <row r="38" spans="1:3">
      <c r="A38" t="s">
        <v>731</v>
      </c>
      <c r="B38" t="s">
        <v>175</v>
      </c>
      <c r="C38">
        <v>1</v>
      </c>
    </row>
    <row r="39" spans="1:3">
      <c r="A39" t="s">
        <v>824</v>
      </c>
      <c r="B39" t="s">
        <v>823</v>
      </c>
      <c r="C39">
        <v>1</v>
      </c>
    </row>
    <row r="40" spans="1:3">
      <c r="A40" t="s">
        <v>732</v>
      </c>
      <c r="B40" t="s">
        <v>395</v>
      </c>
      <c r="C40">
        <v>1</v>
      </c>
    </row>
    <row r="41" spans="1:3">
      <c r="A41" t="s">
        <v>733</v>
      </c>
      <c r="B41" t="s">
        <v>495</v>
      </c>
      <c r="C41">
        <v>1</v>
      </c>
    </row>
    <row r="42" spans="1:3">
      <c r="A42" t="s">
        <v>734</v>
      </c>
      <c r="B42" t="s">
        <v>262</v>
      </c>
      <c r="C42">
        <v>1</v>
      </c>
    </row>
    <row r="43" spans="1:3">
      <c r="A43" t="s">
        <v>735</v>
      </c>
      <c r="B43" t="s">
        <v>868</v>
      </c>
      <c r="C43">
        <v>1</v>
      </c>
    </row>
    <row r="44" spans="1:3">
      <c r="A44" t="s">
        <v>736</v>
      </c>
      <c r="B44" t="s">
        <v>455</v>
      </c>
      <c r="C44">
        <v>1</v>
      </c>
    </row>
    <row r="45" spans="1:3">
      <c r="A45" t="s">
        <v>817</v>
      </c>
      <c r="B45" t="s">
        <v>653</v>
      </c>
      <c r="C45">
        <v>1</v>
      </c>
    </row>
    <row r="46" spans="1:3">
      <c r="A46" t="s">
        <v>737</v>
      </c>
      <c r="B46" t="s">
        <v>640</v>
      </c>
      <c r="C46">
        <v>1</v>
      </c>
    </row>
    <row r="47" spans="1:3">
      <c r="A47" t="s">
        <v>738</v>
      </c>
      <c r="B47" t="s">
        <v>56</v>
      </c>
      <c r="C47">
        <v>1</v>
      </c>
    </row>
    <row r="48" spans="1:3">
      <c r="A48" t="s">
        <v>739</v>
      </c>
      <c r="B48" t="s">
        <v>506</v>
      </c>
      <c r="C48">
        <v>1</v>
      </c>
    </row>
    <row r="49" spans="1:3">
      <c r="A49" t="s">
        <v>830</v>
      </c>
      <c r="B49" t="s">
        <v>492</v>
      </c>
      <c r="C49">
        <v>1</v>
      </c>
    </row>
    <row r="50" spans="1:3">
      <c r="A50" s="309" t="s">
        <v>843</v>
      </c>
      <c r="B50" t="s">
        <v>52</v>
      </c>
      <c r="C50">
        <v>1</v>
      </c>
    </row>
    <row r="51" spans="1:3">
      <c r="A51" s="309"/>
      <c r="B51" t="s">
        <v>50</v>
      </c>
      <c r="C51">
        <v>1</v>
      </c>
    </row>
    <row r="52" spans="1:3">
      <c r="A52" t="s">
        <v>851</v>
      </c>
      <c r="B52" t="s">
        <v>310</v>
      </c>
      <c r="C52">
        <v>1</v>
      </c>
    </row>
    <row r="53" spans="1:3">
      <c r="A53" t="s">
        <v>740</v>
      </c>
      <c r="B53" t="s">
        <v>130</v>
      </c>
      <c r="C53">
        <v>1</v>
      </c>
    </row>
    <row r="54" spans="1:3">
      <c r="A54" t="s">
        <v>741</v>
      </c>
      <c r="B54" t="s">
        <v>103</v>
      </c>
      <c r="C54">
        <v>1</v>
      </c>
    </row>
    <row r="55" spans="1:3">
      <c r="A55" t="s">
        <v>742</v>
      </c>
      <c r="B55" t="s">
        <v>160</v>
      </c>
      <c r="C55">
        <v>1</v>
      </c>
    </row>
    <row r="56" spans="1:3">
      <c r="A56" t="s">
        <v>743</v>
      </c>
      <c r="B56" t="s">
        <v>348</v>
      </c>
      <c r="C56">
        <v>1</v>
      </c>
    </row>
    <row r="57" spans="1:3">
      <c r="A57" s="309" t="s">
        <v>744</v>
      </c>
      <c r="B57" t="s">
        <v>34</v>
      </c>
      <c r="C57">
        <v>1</v>
      </c>
    </row>
    <row r="58" spans="1:3">
      <c r="A58" s="309"/>
      <c r="B58" t="s">
        <v>376</v>
      </c>
      <c r="C58">
        <v>1</v>
      </c>
    </row>
    <row r="59" spans="1:3">
      <c r="A59" t="s">
        <v>745</v>
      </c>
      <c r="B59" t="s">
        <v>153</v>
      </c>
      <c r="C59">
        <v>1</v>
      </c>
    </row>
    <row r="60" spans="1:3">
      <c r="A60" t="s">
        <v>746</v>
      </c>
      <c r="B60" t="s">
        <v>427</v>
      </c>
      <c r="C60">
        <v>1</v>
      </c>
    </row>
    <row r="61" spans="1:3">
      <c r="A61" t="s">
        <v>747</v>
      </c>
      <c r="B61" t="s">
        <v>564</v>
      </c>
      <c r="C61">
        <v>1</v>
      </c>
    </row>
    <row r="62" spans="1:3">
      <c r="A62" t="s">
        <v>833</v>
      </c>
      <c r="B62" t="s">
        <v>540</v>
      </c>
      <c r="C62">
        <v>1</v>
      </c>
    </row>
    <row r="63" spans="1:3">
      <c r="A63" t="s">
        <v>748</v>
      </c>
      <c r="B63" t="s">
        <v>385</v>
      </c>
      <c r="C63">
        <v>1</v>
      </c>
    </row>
    <row r="64" spans="1:3">
      <c r="B64" t="s">
        <v>810</v>
      </c>
      <c r="C64">
        <v>1</v>
      </c>
    </row>
    <row r="65" spans="1:3">
      <c r="A65" t="s">
        <v>749</v>
      </c>
      <c r="B65" t="s">
        <v>102</v>
      </c>
      <c r="C65">
        <v>1</v>
      </c>
    </row>
    <row r="66" spans="1:3">
      <c r="A66" t="s">
        <v>811</v>
      </c>
      <c r="B66" t="s">
        <v>95</v>
      </c>
      <c r="C66">
        <v>1</v>
      </c>
    </row>
    <row r="67" spans="1:3">
      <c r="A67" t="s">
        <v>832</v>
      </c>
      <c r="B67" t="s">
        <v>515</v>
      </c>
      <c r="C67">
        <v>1</v>
      </c>
    </row>
    <row r="68" spans="1:3">
      <c r="A68" t="s">
        <v>750</v>
      </c>
      <c r="B68" t="s">
        <v>59</v>
      </c>
      <c r="C68">
        <v>1</v>
      </c>
    </row>
    <row r="69" spans="1:3">
      <c r="A69" t="s">
        <v>821</v>
      </c>
      <c r="B69" t="s">
        <v>612</v>
      </c>
      <c r="C69">
        <v>1</v>
      </c>
    </row>
    <row r="70" spans="1:3">
      <c r="A70" t="s">
        <v>751</v>
      </c>
      <c r="B70" t="s">
        <v>100</v>
      </c>
      <c r="C70">
        <v>1</v>
      </c>
    </row>
    <row r="71" spans="1:3">
      <c r="A71" t="s">
        <v>816</v>
      </c>
      <c r="B71" t="s">
        <v>683</v>
      </c>
      <c r="C71">
        <v>1</v>
      </c>
    </row>
    <row r="72" spans="1:3">
      <c r="A72" t="s">
        <v>752</v>
      </c>
      <c r="B72" t="s">
        <v>609</v>
      </c>
      <c r="C72">
        <v>1</v>
      </c>
    </row>
    <row r="73" spans="1:3">
      <c r="A73" t="s">
        <v>753</v>
      </c>
      <c r="B73" t="s">
        <v>147</v>
      </c>
      <c r="C73">
        <v>1</v>
      </c>
    </row>
    <row r="74" spans="1:3">
      <c r="A74" t="s">
        <v>840</v>
      </c>
      <c r="B74" t="s">
        <v>575</v>
      </c>
      <c r="C74">
        <v>1</v>
      </c>
    </row>
    <row r="75" spans="1:3">
      <c r="A75" t="s">
        <v>754</v>
      </c>
      <c r="B75" t="s">
        <v>256</v>
      </c>
      <c r="C75">
        <v>1</v>
      </c>
    </row>
    <row r="76" spans="1:3">
      <c r="A76" t="s">
        <v>755</v>
      </c>
      <c r="B76" t="s">
        <v>433</v>
      </c>
      <c r="C76">
        <v>1</v>
      </c>
    </row>
    <row r="77" spans="1:3">
      <c r="A77" t="s">
        <v>844</v>
      </c>
      <c r="B77" t="s">
        <v>92</v>
      </c>
      <c r="C77">
        <v>1</v>
      </c>
    </row>
    <row r="78" spans="1:3">
      <c r="A78" t="s">
        <v>813</v>
      </c>
      <c r="B78" t="s">
        <v>450</v>
      </c>
      <c r="C78">
        <v>1</v>
      </c>
    </row>
    <row r="79" spans="1:3">
      <c r="A79" s="309" t="s">
        <v>756</v>
      </c>
      <c r="B79" t="s">
        <v>464</v>
      </c>
      <c r="C79">
        <v>1</v>
      </c>
    </row>
    <row r="80" spans="1:3">
      <c r="A80" s="309"/>
      <c r="B80" t="s">
        <v>481</v>
      </c>
      <c r="C80">
        <v>1</v>
      </c>
    </row>
    <row r="81" spans="1:3">
      <c r="A81" t="s">
        <v>846</v>
      </c>
      <c r="B81" t="s">
        <v>409</v>
      </c>
      <c r="C81">
        <v>1</v>
      </c>
    </row>
    <row r="82" spans="1:3">
      <c r="A82" t="s">
        <v>842</v>
      </c>
      <c r="B82" t="s">
        <v>416</v>
      </c>
      <c r="C82">
        <v>1</v>
      </c>
    </row>
    <row r="83" spans="1:3">
      <c r="A83" s="309" t="s">
        <v>757</v>
      </c>
      <c r="B83" t="s">
        <v>522</v>
      </c>
      <c r="C83">
        <v>1</v>
      </c>
    </row>
    <row r="84" spans="1:3">
      <c r="A84" s="309"/>
      <c r="B84" t="s">
        <v>869</v>
      </c>
      <c r="C84">
        <v>1</v>
      </c>
    </row>
    <row r="85" spans="1:3">
      <c r="A85" t="s">
        <v>758</v>
      </c>
      <c r="B85" t="s">
        <v>535</v>
      </c>
      <c r="C85">
        <v>1</v>
      </c>
    </row>
    <row r="86" spans="1:3">
      <c r="A86" t="s">
        <v>759</v>
      </c>
      <c r="B86" t="s">
        <v>460</v>
      </c>
      <c r="C86">
        <v>1</v>
      </c>
    </row>
    <row r="87" spans="1:3">
      <c r="A87" t="s">
        <v>760</v>
      </c>
      <c r="B87" t="s">
        <v>690</v>
      </c>
      <c r="C87">
        <v>1</v>
      </c>
    </row>
    <row r="88" spans="1:3">
      <c r="A88" t="s">
        <v>761</v>
      </c>
      <c r="B88" t="s">
        <v>517</v>
      </c>
      <c r="C88">
        <v>1</v>
      </c>
    </row>
    <row r="89" spans="1:3">
      <c r="A89" t="s">
        <v>762</v>
      </c>
      <c r="B89" t="s">
        <v>619</v>
      </c>
      <c r="C89">
        <v>1</v>
      </c>
    </row>
    <row r="90" spans="1:3">
      <c r="A90" t="s">
        <v>856</v>
      </c>
      <c r="B90" t="s">
        <v>250</v>
      </c>
      <c r="C90">
        <v>1</v>
      </c>
    </row>
    <row r="91" spans="1:3">
      <c r="A91" t="s">
        <v>818</v>
      </c>
      <c r="B91" t="s">
        <v>649</v>
      </c>
      <c r="C91">
        <v>1</v>
      </c>
    </row>
    <row r="92" spans="1:3">
      <c r="A92" t="s">
        <v>763</v>
      </c>
      <c r="B92" t="s">
        <v>503</v>
      </c>
      <c r="C92">
        <v>1</v>
      </c>
    </row>
    <row r="93" spans="1:3">
      <c r="A93" t="s">
        <v>826</v>
      </c>
      <c r="B93" t="s">
        <v>36</v>
      </c>
      <c r="C93">
        <v>1</v>
      </c>
    </row>
    <row r="94" spans="1:3">
      <c r="A94" t="s">
        <v>838</v>
      </c>
      <c r="B94" t="s">
        <v>565</v>
      </c>
      <c r="C94">
        <v>1</v>
      </c>
    </row>
    <row r="95" spans="1:3">
      <c r="A95" t="s">
        <v>764</v>
      </c>
      <c r="B95" t="s">
        <v>663</v>
      </c>
      <c r="C95">
        <v>1</v>
      </c>
    </row>
    <row r="96" spans="1:3">
      <c r="A96" t="s">
        <v>765</v>
      </c>
      <c r="B96" t="s">
        <v>468</v>
      </c>
      <c r="C96">
        <v>1</v>
      </c>
    </row>
    <row r="97" spans="1:3">
      <c r="A97" t="s">
        <v>766</v>
      </c>
      <c r="B97" t="s">
        <v>355</v>
      </c>
      <c r="C97">
        <v>1</v>
      </c>
    </row>
    <row r="98" spans="1:3">
      <c r="A98" t="s">
        <v>767</v>
      </c>
      <c r="B98" t="s">
        <v>701</v>
      </c>
      <c r="C98">
        <v>1</v>
      </c>
    </row>
    <row r="99" spans="1:3">
      <c r="A99" t="s">
        <v>814</v>
      </c>
      <c r="B99" t="s">
        <v>597</v>
      </c>
      <c r="C99">
        <v>1</v>
      </c>
    </row>
    <row r="100" spans="1:3">
      <c r="A100" t="s">
        <v>822</v>
      </c>
      <c r="B100" t="s">
        <v>870</v>
      </c>
      <c r="C100">
        <v>1</v>
      </c>
    </row>
    <row r="101" spans="1:3">
      <c r="A101" t="s">
        <v>852</v>
      </c>
      <c r="B101" t="s">
        <v>306</v>
      </c>
      <c r="C101">
        <v>1</v>
      </c>
    </row>
    <row r="102" spans="1:3">
      <c r="A102" t="s">
        <v>768</v>
      </c>
      <c r="B102" t="s">
        <v>244</v>
      </c>
      <c r="C102">
        <v>1</v>
      </c>
    </row>
    <row r="103" spans="1:3">
      <c r="A103" t="s">
        <v>769</v>
      </c>
      <c r="B103" t="s">
        <v>603</v>
      </c>
      <c r="C103">
        <v>1</v>
      </c>
    </row>
    <row r="104" spans="1:3">
      <c r="A104" t="s">
        <v>770</v>
      </c>
      <c r="B104" t="s">
        <v>382</v>
      </c>
      <c r="C104">
        <v>1</v>
      </c>
    </row>
    <row r="105" spans="1:3">
      <c r="A105" t="s">
        <v>771</v>
      </c>
      <c r="B105" t="s">
        <v>672</v>
      </c>
      <c r="C105">
        <v>1</v>
      </c>
    </row>
    <row r="106" spans="1:3">
      <c r="A106" t="s">
        <v>772</v>
      </c>
      <c r="B106" t="s">
        <v>236</v>
      </c>
      <c r="C106">
        <v>1</v>
      </c>
    </row>
    <row r="107" spans="1:3">
      <c r="A107" t="s">
        <v>773</v>
      </c>
      <c r="B107" t="s">
        <v>401</v>
      </c>
      <c r="C107">
        <v>1</v>
      </c>
    </row>
    <row r="108" spans="1:3">
      <c r="A108" t="s">
        <v>834</v>
      </c>
      <c r="B108" t="s">
        <v>545</v>
      </c>
      <c r="C108">
        <v>1</v>
      </c>
    </row>
    <row r="109" spans="1:3">
      <c r="A109" t="s">
        <v>836</v>
      </c>
      <c r="B109" t="s">
        <v>555</v>
      </c>
      <c r="C109">
        <v>1</v>
      </c>
    </row>
    <row r="110" spans="1:3">
      <c r="A110" t="s">
        <v>835</v>
      </c>
      <c r="B110" t="s">
        <v>551</v>
      </c>
      <c r="C110">
        <v>1</v>
      </c>
    </row>
    <row r="111" spans="1:3">
      <c r="A111" t="s">
        <v>774</v>
      </c>
      <c r="B111" t="s">
        <v>58</v>
      </c>
      <c r="C111">
        <v>1</v>
      </c>
    </row>
    <row r="112" spans="1:3">
      <c r="A112" t="s">
        <v>775</v>
      </c>
      <c r="B112" t="s">
        <v>26</v>
      </c>
      <c r="C112">
        <v>1</v>
      </c>
    </row>
    <row r="113" spans="1:3">
      <c r="A113" t="s">
        <v>827</v>
      </c>
      <c r="B113" t="s">
        <v>45</v>
      </c>
      <c r="C113">
        <v>1</v>
      </c>
    </row>
    <row r="114" spans="1:3">
      <c r="A114" t="s">
        <v>776</v>
      </c>
      <c r="B114" t="s">
        <v>320</v>
      </c>
      <c r="C114">
        <v>1</v>
      </c>
    </row>
    <row r="115" spans="1:3">
      <c r="A115" t="s">
        <v>777</v>
      </c>
      <c r="B115" t="s">
        <v>489</v>
      </c>
      <c r="C115">
        <v>1</v>
      </c>
    </row>
    <row r="116" spans="1:3">
      <c r="A116" t="s">
        <v>778</v>
      </c>
      <c r="B116" t="s">
        <v>439</v>
      </c>
      <c r="C116">
        <v>1</v>
      </c>
    </row>
    <row r="117" spans="1:3">
      <c r="A117" t="s">
        <v>779</v>
      </c>
      <c r="B117" t="s">
        <v>580</v>
      </c>
      <c r="C117">
        <v>1</v>
      </c>
    </row>
    <row r="118" spans="1:3">
      <c r="A118" t="s">
        <v>845</v>
      </c>
      <c r="B118" t="s">
        <v>137</v>
      </c>
      <c r="C118">
        <v>1</v>
      </c>
    </row>
    <row r="119" spans="1:3">
      <c r="A119" t="s">
        <v>854</v>
      </c>
      <c r="B119" t="s">
        <v>278</v>
      </c>
      <c r="C119">
        <v>1</v>
      </c>
    </row>
    <row r="120" spans="1:3">
      <c r="A120" t="s">
        <v>855</v>
      </c>
      <c r="B120" t="s">
        <v>268</v>
      </c>
      <c r="C120">
        <v>1</v>
      </c>
    </row>
    <row r="121" spans="1:3">
      <c r="A121" t="s">
        <v>857</v>
      </c>
      <c r="B121" t="s">
        <v>231</v>
      </c>
      <c r="C121">
        <v>1</v>
      </c>
    </row>
    <row r="122" spans="1:3">
      <c r="A122" t="s">
        <v>837</v>
      </c>
      <c r="B122" t="s">
        <v>563</v>
      </c>
      <c r="C122">
        <v>1</v>
      </c>
    </row>
    <row r="123" spans="1:3">
      <c r="A123" t="s">
        <v>815</v>
      </c>
      <c r="B123" t="s">
        <v>695</v>
      </c>
      <c r="C123">
        <v>1</v>
      </c>
    </row>
    <row r="124" spans="1:3">
      <c r="A124" s="309" t="s">
        <v>780</v>
      </c>
      <c r="B124" s="309" t="s">
        <v>101</v>
      </c>
      <c r="C124">
        <v>1</v>
      </c>
    </row>
    <row r="125" spans="1:3">
      <c r="A125" s="309"/>
      <c r="B125" s="309" t="s">
        <v>871</v>
      </c>
      <c r="C125">
        <v>1</v>
      </c>
    </row>
    <row r="126" spans="1:3">
      <c r="A126" t="s">
        <v>781</v>
      </c>
      <c r="B126" t="s">
        <v>43</v>
      </c>
      <c r="C126">
        <v>1</v>
      </c>
    </row>
    <row r="127" spans="1:3">
      <c r="A127" t="s">
        <v>782</v>
      </c>
      <c r="B127" t="s">
        <v>193</v>
      </c>
      <c r="C127">
        <v>1</v>
      </c>
    </row>
    <row r="128" spans="1:3">
      <c r="A128" t="s">
        <v>783</v>
      </c>
      <c r="B128" t="s">
        <v>478</v>
      </c>
      <c r="C128">
        <v>1</v>
      </c>
    </row>
    <row r="129" spans="1:3">
      <c r="A129" t="s">
        <v>784</v>
      </c>
      <c r="B129" t="s">
        <v>119</v>
      </c>
      <c r="C129">
        <v>1</v>
      </c>
    </row>
    <row r="130" spans="1:3">
      <c r="A130" t="s">
        <v>785</v>
      </c>
      <c r="B130" t="s">
        <v>301</v>
      </c>
      <c r="C130">
        <v>1</v>
      </c>
    </row>
    <row r="131" spans="1:3">
      <c r="A131" t="s">
        <v>786</v>
      </c>
      <c r="B131" t="s">
        <v>217</v>
      </c>
      <c r="C131">
        <v>1</v>
      </c>
    </row>
    <row r="132" spans="1:3">
      <c r="A132" t="s">
        <v>787</v>
      </c>
      <c r="B132" t="s">
        <v>632</v>
      </c>
      <c r="C132">
        <v>1</v>
      </c>
    </row>
    <row r="133" spans="1:3">
      <c r="A133" t="s">
        <v>788</v>
      </c>
      <c r="B133" t="s">
        <v>65</v>
      </c>
      <c r="C133">
        <v>1</v>
      </c>
    </row>
    <row r="134" spans="1:3">
      <c r="A134" t="s">
        <v>831</v>
      </c>
      <c r="B134" t="s">
        <v>518</v>
      </c>
      <c r="C134">
        <v>1</v>
      </c>
    </row>
    <row r="135" spans="1:3">
      <c r="A135" t="s">
        <v>828</v>
      </c>
      <c r="B135" t="s">
        <v>48</v>
      </c>
      <c r="C135">
        <v>1</v>
      </c>
    </row>
    <row r="136" spans="1:3">
      <c r="A136" t="s">
        <v>789</v>
      </c>
      <c r="B136" t="s">
        <v>872</v>
      </c>
      <c r="C136">
        <v>1</v>
      </c>
    </row>
    <row r="137" spans="1:3">
      <c r="A137" t="s">
        <v>790</v>
      </c>
      <c r="B137" t="s">
        <v>637</v>
      </c>
      <c r="C137">
        <v>1</v>
      </c>
    </row>
    <row r="138" spans="1:3">
      <c r="A138" t="s">
        <v>791</v>
      </c>
      <c r="B138" t="s">
        <v>291</v>
      </c>
      <c r="C138">
        <v>1</v>
      </c>
    </row>
    <row r="139" spans="1:3">
      <c r="A139" t="s">
        <v>792</v>
      </c>
      <c r="B139" t="s">
        <v>206</v>
      </c>
      <c r="C139">
        <v>1</v>
      </c>
    </row>
    <row r="140" spans="1:3">
      <c r="A140" s="309" t="s">
        <v>793</v>
      </c>
      <c r="B140" t="s">
        <v>558</v>
      </c>
      <c r="C140">
        <v>1</v>
      </c>
    </row>
    <row r="141" spans="1:3">
      <c r="A141" s="309"/>
      <c r="B141" t="s">
        <v>873</v>
      </c>
      <c r="C141">
        <v>1</v>
      </c>
    </row>
    <row r="142" spans="1:3">
      <c r="A142" t="s">
        <v>820</v>
      </c>
      <c r="B142" t="s">
        <v>616</v>
      </c>
      <c r="C142">
        <v>1</v>
      </c>
    </row>
    <row r="143" spans="1:3">
      <c r="A143" t="s">
        <v>794</v>
      </c>
      <c r="B143" t="s">
        <v>679</v>
      </c>
      <c r="C143">
        <v>1</v>
      </c>
    </row>
    <row r="144" spans="1:3">
      <c r="A144" t="s">
        <v>841</v>
      </c>
      <c r="B144" t="s">
        <v>586</v>
      </c>
      <c r="C144">
        <v>1</v>
      </c>
    </row>
    <row r="145" spans="1:3">
      <c r="A145" t="s">
        <v>853</v>
      </c>
      <c r="B145" t="s">
        <v>285</v>
      </c>
      <c r="C145">
        <v>1</v>
      </c>
    </row>
    <row r="146" spans="1:3">
      <c r="A146" t="s">
        <v>858</v>
      </c>
      <c r="B146" t="s">
        <v>225</v>
      </c>
      <c r="C146">
        <v>1</v>
      </c>
    </row>
    <row r="147" spans="1:3">
      <c r="A147" t="s">
        <v>825</v>
      </c>
      <c r="B147" t="s">
        <v>113</v>
      </c>
      <c r="C147">
        <v>1</v>
      </c>
    </row>
    <row r="148" spans="1:3">
      <c r="A148" t="s">
        <v>849</v>
      </c>
      <c r="B148" t="s">
        <v>371</v>
      </c>
      <c r="C148">
        <v>1</v>
      </c>
    </row>
    <row r="149" spans="1:3">
      <c r="A149" t="s">
        <v>812</v>
      </c>
      <c r="B149" t="s">
        <v>21</v>
      </c>
      <c r="C149">
        <v>1</v>
      </c>
    </row>
    <row r="150" spans="1:3">
      <c r="B150" t="s">
        <v>321</v>
      </c>
      <c r="C150">
        <v>1</v>
      </c>
    </row>
    <row r="151" spans="1:3">
      <c r="A151" t="s">
        <v>839</v>
      </c>
      <c r="B151" t="s">
        <v>569</v>
      </c>
      <c r="C151">
        <v>1</v>
      </c>
    </row>
    <row r="152" spans="1:3">
      <c r="A152" t="s">
        <v>795</v>
      </c>
      <c r="B152" t="s">
        <v>365</v>
      </c>
      <c r="C152">
        <v>1</v>
      </c>
    </row>
    <row r="153" spans="1:3">
      <c r="A153" t="s">
        <v>796</v>
      </c>
      <c r="B153" t="s">
        <v>290</v>
      </c>
      <c r="C153">
        <v>1</v>
      </c>
    </row>
    <row r="154" spans="1:3">
      <c r="A154" t="s">
        <v>797</v>
      </c>
      <c r="B154" t="s">
        <v>510</v>
      </c>
      <c r="C154">
        <v>1</v>
      </c>
    </row>
    <row r="155" spans="1:3">
      <c r="A155" t="s">
        <v>798</v>
      </c>
      <c r="B155" t="s">
        <v>44</v>
      </c>
      <c r="C155">
        <v>1</v>
      </c>
    </row>
    <row r="156" spans="1:3">
      <c r="A156" t="s">
        <v>799</v>
      </c>
      <c r="B156" t="s">
        <v>486</v>
      </c>
      <c r="C156">
        <v>1</v>
      </c>
    </row>
    <row r="157" spans="1:3">
      <c r="A157" t="s">
        <v>800</v>
      </c>
      <c r="B157" t="s">
        <v>211</v>
      </c>
      <c r="C157">
        <v>1</v>
      </c>
    </row>
    <row r="158" spans="1:3">
      <c r="A158" t="s">
        <v>801</v>
      </c>
      <c r="B158" t="s">
        <v>341</v>
      </c>
      <c r="C158">
        <v>1</v>
      </c>
    </row>
    <row r="159" spans="1:3">
      <c r="A159" t="s">
        <v>802</v>
      </c>
      <c r="B159" t="s">
        <v>591</v>
      </c>
      <c r="C159">
        <v>1</v>
      </c>
    </row>
    <row r="160" spans="1:3">
      <c r="A160" t="s">
        <v>803</v>
      </c>
      <c r="B160" t="s">
        <v>659</v>
      </c>
      <c r="C160">
        <v>1</v>
      </c>
    </row>
    <row r="161" spans="1:3">
      <c r="A161" t="s">
        <v>804</v>
      </c>
      <c r="B161" t="s">
        <v>201</v>
      </c>
      <c r="C161">
        <v>1</v>
      </c>
    </row>
    <row r="162" spans="1:3">
      <c r="A162" t="s">
        <v>805</v>
      </c>
      <c r="B162" t="s">
        <v>484</v>
      </c>
      <c r="C162">
        <v>1</v>
      </c>
    </row>
    <row r="163" spans="1:3">
      <c r="A163" t="s">
        <v>806</v>
      </c>
      <c r="B163" t="s">
        <v>196</v>
      </c>
      <c r="C163">
        <v>1</v>
      </c>
    </row>
    <row r="164" spans="1:3">
      <c r="A164" t="s">
        <v>807</v>
      </c>
      <c r="B164" t="s">
        <v>181</v>
      </c>
      <c r="C164">
        <v>1</v>
      </c>
    </row>
    <row r="165" spans="1:3">
      <c r="A165" t="s">
        <v>847</v>
      </c>
      <c r="B165" t="s">
        <v>874</v>
      </c>
      <c r="C165">
        <v>1</v>
      </c>
    </row>
    <row r="166" spans="1:3">
      <c r="A166" t="s">
        <v>808</v>
      </c>
      <c r="B166" t="s">
        <v>87</v>
      </c>
      <c r="C166">
        <v>1</v>
      </c>
    </row>
    <row r="167" spans="1:3">
      <c r="A167" t="s">
        <v>809</v>
      </c>
      <c r="B167" t="s">
        <v>624</v>
      </c>
      <c r="C167">
        <v>1</v>
      </c>
    </row>
    <row r="168" spans="1:3">
      <c r="A168" t="s">
        <v>829</v>
      </c>
      <c r="B168" t="s">
        <v>445</v>
      </c>
      <c r="C168">
        <v>1</v>
      </c>
    </row>
    <row r="169" spans="1:3">
      <c r="A169" t="s">
        <v>860</v>
      </c>
      <c r="C169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A168"/>
  <sheetViews>
    <sheetView showGridLines="0" tabSelected="1" zoomScale="85" zoomScaleNormal="85" workbookViewId="0">
      <pane xSplit="8" ySplit="2" topLeftCell="I3" activePane="bottomRight" state="frozen"/>
      <selection pane="topRight" activeCell="F1" sqref="F1"/>
      <selection pane="bottomLeft" activeCell="A11" sqref="A11"/>
      <selection pane="bottomRight" activeCell="D9" sqref="D9"/>
    </sheetView>
  </sheetViews>
  <sheetFormatPr defaultColWidth="9.140625" defaultRowHeight="15.75"/>
  <cols>
    <col min="1" max="1" width="5.140625" style="194" bestFit="1" customWidth="1"/>
    <col min="2" max="2" width="37.140625" style="194" customWidth="1"/>
    <col min="3" max="3" width="12.42578125" style="283" customWidth="1"/>
    <col min="4" max="4" width="10.85546875" style="194" customWidth="1"/>
    <col min="5" max="6" width="14.85546875" style="194" customWidth="1"/>
    <col min="7" max="7" width="8.85546875" style="194" customWidth="1"/>
    <col min="8" max="8" width="7.140625" style="194" customWidth="1"/>
    <col min="9" max="9" width="11.42578125" style="194" customWidth="1"/>
    <col min="10" max="10" width="11.5703125" style="194" customWidth="1"/>
    <col min="11" max="11" width="20.7109375" style="194" customWidth="1"/>
    <col min="12" max="12" width="27.140625" style="194" customWidth="1"/>
    <col min="13" max="13" width="18.42578125" style="194" customWidth="1"/>
    <col min="14" max="14" width="18.5703125" style="194" customWidth="1"/>
    <col min="15" max="15" width="22.7109375" style="194" customWidth="1"/>
    <col min="16" max="16" width="17.42578125" style="223" customWidth="1"/>
    <col min="17" max="17" width="21.140625" style="194" customWidth="1"/>
    <col min="18" max="18" width="14" style="194" hidden="1" customWidth="1"/>
    <col min="19" max="19" width="14" style="194" customWidth="1"/>
    <col min="20" max="20" width="43.42578125" style="224" customWidth="1"/>
    <col min="21" max="21" width="15.28515625" style="210" hidden="1" customWidth="1"/>
    <col min="22" max="22" width="88.28515625" style="278" customWidth="1"/>
    <col min="23" max="25" width="16" style="196" customWidth="1"/>
    <col min="26" max="26" width="13.42578125" style="211" customWidth="1"/>
    <col min="27" max="53" width="9.140625" style="196"/>
    <col min="54" max="16384" width="9.140625" style="194"/>
  </cols>
  <sheetData>
    <row r="1" spans="1:53" s="251" customFormat="1" ht="39" customHeight="1">
      <c r="A1" s="350" t="s">
        <v>7</v>
      </c>
      <c r="B1" s="350"/>
      <c r="C1" s="301"/>
      <c r="D1" s="302"/>
      <c r="E1" s="300"/>
      <c r="F1" s="300"/>
      <c r="G1" s="302"/>
      <c r="H1" s="250"/>
      <c r="I1" s="302"/>
      <c r="J1" s="302"/>
      <c r="K1" s="302"/>
      <c r="L1" s="302"/>
      <c r="M1" s="302"/>
      <c r="N1" s="250"/>
      <c r="O1" s="302"/>
      <c r="P1" s="250"/>
      <c r="Q1" s="303"/>
      <c r="R1" s="303"/>
      <c r="S1" s="303"/>
      <c r="T1" s="303"/>
      <c r="U1" s="304"/>
      <c r="V1" s="305"/>
      <c r="W1" s="306"/>
      <c r="X1" s="306"/>
      <c r="Y1" s="306"/>
      <c r="Z1" s="307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250"/>
      <c r="AW1" s="250"/>
      <c r="AX1" s="250"/>
      <c r="AY1" s="250"/>
      <c r="AZ1" s="250"/>
      <c r="BA1" s="250"/>
    </row>
    <row r="2" spans="1:53" s="367" customFormat="1" ht="88.5" customHeight="1">
      <c r="A2" s="352" t="s">
        <v>725</v>
      </c>
      <c r="B2" s="353" t="s">
        <v>9</v>
      </c>
      <c r="C2" s="354" t="s">
        <v>710</v>
      </c>
      <c r="D2" s="355" t="s">
        <v>715</v>
      </c>
      <c r="E2" s="356" t="s">
        <v>714</v>
      </c>
      <c r="F2" s="356" t="s">
        <v>711</v>
      </c>
      <c r="G2" s="357" t="s">
        <v>709</v>
      </c>
      <c r="H2" s="357" t="s">
        <v>712</v>
      </c>
      <c r="I2" s="358" t="s">
        <v>706</v>
      </c>
      <c r="J2" s="358" t="s">
        <v>707</v>
      </c>
      <c r="K2" s="353" t="s">
        <v>14</v>
      </c>
      <c r="L2" s="355" t="s">
        <v>15</v>
      </c>
      <c r="M2" s="353" t="s">
        <v>724</v>
      </c>
      <c r="N2" s="358" t="s">
        <v>18</v>
      </c>
      <c r="O2" s="353" t="s">
        <v>17</v>
      </c>
      <c r="P2" s="359" t="s">
        <v>3</v>
      </c>
      <c r="Q2" s="360" t="s">
        <v>4</v>
      </c>
      <c r="R2" s="361" t="s">
        <v>5</v>
      </c>
      <c r="S2" s="361" t="s">
        <v>718</v>
      </c>
      <c r="T2" s="359" t="s">
        <v>0</v>
      </c>
      <c r="U2" s="362" t="s">
        <v>859</v>
      </c>
      <c r="V2" s="363" t="s">
        <v>726</v>
      </c>
      <c r="W2" s="364" t="s">
        <v>719</v>
      </c>
      <c r="X2" s="352" t="s">
        <v>720</v>
      </c>
      <c r="Y2" s="352" t="s">
        <v>721</v>
      </c>
      <c r="Z2" s="365" t="s">
        <v>722</v>
      </c>
      <c r="AA2" s="366"/>
    </row>
    <row r="3" spans="1:53" ht="24.95" customHeight="1">
      <c r="A3" s="290">
        <v>1</v>
      </c>
      <c r="B3" s="17" t="s">
        <v>34</v>
      </c>
      <c r="C3" s="297" t="s">
        <v>744</v>
      </c>
      <c r="D3" s="1"/>
      <c r="E3" s="200" t="s">
        <v>716</v>
      </c>
      <c r="F3" s="18"/>
      <c r="G3" s="199" t="s">
        <v>708</v>
      </c>
      <c r="H3" s="199" t="s">
        <v>713</v>
      </c>
      <c r="I3" s="188">
        <v>50000</v>
      </c>
      <c r="J3" s="188">
        <v>600000</v>
      </c>
      <c r="K3" s="190" t="s">
        <v>67</v>
      </c>
      <c r="L3" s="192" t="s">
        <v>28</v>
      </c>
      <c r="M3" s="190"/>
      <c r="N3" s="18" t="s">
        <v>68</v>
      </c>
      <c r="O3" s="18" t="s">
        <v>8</v>
      </c>
      <c r="P3" s="202"/>
      <c r="Q3" s="18"/>
      <c r="R3" s="18"/>
      <c r="S3" s="18"/>
      <c r="T3" s="202"/>
      <c r="U3" s="203"/>
      <c r="V3" s="17"/>
      <c r="W3" s="225"/>
      <c r="X3" s="18"/>
      <c r="Y3" s="18"/>
      <c r="Z3" s="299"/>
      <c r="AA3" s="195"/>
    </row>
    <row r="4" spans="1:53" ht="24.95" customHeight="1">
      <c r="A4" s="290">
        <v>2</v>
      </c>
      <c r="B4" s="17" t="s">
        <v>89</v>
      </c>
      <c r="C4" s="284" t="s">
        <v>467</v>
      </c>
      <c r="D4" s="1"/>
      <c r="E4" s="200" t="s">
        <v>716</v>
      </c>
      <c r="F4" s="18"/>
      <c r="G4" s="199" t="s">
        <v>708</v>
      </c>
      <c r="H4" s="199" t="s">
        <v>713</v>
      </c>
      <c r="I4" s="188">
        <v>50000</v>
      </c>
      <c r="J4" s="188">
        <v>600000</v>
      </c>
      <c r="K4" s="190" t="s">
        <v>67</v>
      </c>
      <c r="L4" s="192" t="s">
        <v>33</v>
      </c>
      <c r="M4" s="190"/>
      <c r="N4" s="18" t="s">
        <v>68</v>
      </c>
      <c r="O4" s="18" t="s">
        <v>8</v>
      </c>
      <c r="P4" s="202"/>
      <c r="Q4" s="18"/>
      <c r="R4" s="18"/>
      <c r="S4" s="18"/>
      <c r="T4" s="202" t="s">
        <v>35</v>
      </c>
      <c r="U4" s="203"/>
      <c r="V4" s="17"/>
      <c r="W4" s="225"/>
      <c r="X4" s="18"/>
      <c r="Y4" s="18"/>
      <c r="Z4" s="299"/>
      <c r="AA4" s="195"/>
    </row>
    <row r="5" spans="1:53" ht="24.95" customHeight="1">
      <c r="A5" s="290">
        <v>3</v>
      </c>
      <c r="B5" s="282" t="s">
        <v>100</v>
      </c>
      <c r="C5" s="297" t="s">
        <v>751</v>
      </c>
      <c r="D5" s="1"/>
      <c r="E5" s="200" t="s">
        <v>716</v>
      </c>
      <c r="F5" s="18"/>
      <c r="G5" s="199" t="s">
        <v>708</v>
      </c>
      <c r="H5" s="199" t="s">
        <v>713</v>
      </c>
      <c r="I5" s="188">
        <v>50000</v>
      </c>
      <c r="J5" s="188">
        <v>600000</v>
      </c>
      <c r="K5" s="190" t="s">
        <v>67</v>
      </c>
      <c r="L5" s="192" t="s">
        <v>33</v>
      </c>
      <c r="M5" s="190"/>
      <c r="N5" s="18" t="s">
        <v>68</v>
      </c>
      <c r="O5" s="18" t="s">
        <v>8</v>
      </c>
      <c r="P5" s="202"/>
      <c r="Q5" s="18"/>
      <c r="R5" s="18"/>
      <c r="S5" s="18"/>
      <c r="T5" s="202" t="s">
        <v>35</v>
      </c>
      <c r="U5" s="203"/>
      <c r="V5" s="17"/>
      <c r="W5" s="225"/>
      <c r="X5" s="18"/>
      <c r="Y5" s="18"/>
      <c r="Z5" s="299"/>
      <c r="AA5" s="195"/>
    </row>
    <row r="6" spans="1:53" ht="24.95" customHeight="1">
      <c r="A6" s="290">
        <v>4</v>
      </c>
      <c r="B6" s="351" t="s">
        <v>810</v>
      </c>
      <c r="C6" s="284" t="s">
        <v>748</v>
      </c>
      <c r="D6" s="1"/>
      <c r="E6" s="200" t="s">
        <v>716</v>
      </c>
      <c r="F6" s="18"/>
      <c r="G6" s="199" t="s">
        <v>708</v>
      </c>
      <c r="H6" s="199" t="s">
        <v>713</v>
      </c>
      <c r="I6" s="188">
        <v>50000</v>
      </c>
      <c r="J6" s="188">
        <v>600000</v>
      </c>
      <c r="K6" s="190" t="s">
        <v>67</v>
      </c>
      <c r="L6" s="192" t="s">
        <v>33</v>
      </c>
      <c r="M6" s="190"/>
      <c r="N6" s="18" t="s">
        <v>68</v>
      </c>
      <c r="O6" s="18" t="s">
        <v>8</v>
      </c>
      <c r="P6" s="202"/>
      <c r="Q6" s="18"/>
      <c r="R6" s="18"/>
      <c r="S6" s="18"/>
      <c r="T6" s="202" t="s">
        <v>35</v>
      </c>
      <c r="U6" s="203"/>
      <c r="V6" s="17"/>
      <c r="W6" s="225"/>
      <c r="X6" s="18"/>
      <c r="Y6" s="18"/>
      <c r="Z6" s="299"/>
      <c r="AA6" s="195"/>
    </row>
    <row r="7" spans="1:53" ht="24.95" customHeight="1">
      <c r="A7" s="290">
        <v>5</v>
      </c>
      <c r="B7" s="282" t="s">
        <v>101</v>
      </c>
      <c r="C7" s="284" t="s">
        <v>780</v>
      </c>
      <c r="D7" s="1"/>
      <c r="E7" s="200" t="s">
        <v>716</v>
      </c>
      <c r="F7" s="18"/>
      <c r="G7" s="199" t="s">
        <v>708</v>
      </c>
      <c r="H7" s="199" t="s">
        <v>713</v>
      </c>
      <c r="I7" s="188">
        <v>50000</v>
      </c>
      <c r="J7" s="188">
        <v>600000</v>
      </c>
      <c r="K7" s="190" t="s">
        <v>67</v>
      </c>
      <c r="L7" s="192" t="s">
        <v>33</v>
      </c>
      <c r="M7" s="190"/>
      <c r="N7" s="18" t="s">
        <v>68</v>
      </c>
      <c r="O7" s="18" t="s">
        <v>8</v>
      </c>
      <c r="P7" s="202"/>
      <c r="Q7" s="18"/>
      <c r="R7" s="18"/>
      <c r="S7" s="18"/>
      <c r="T7" s="202" t="s">
        <v>35</v>
      </c>
      <c r="U7" s="203"/>
      <c r="V7" s="17"/>
      <c r="W7" s="225"/>
      <c r="X7" s="18"/>
      <c r="Y7" s="18"/>
      <c r="Z7" s="299"/>
      <c r="AA7" s="195"/>
    </row>
    <row r="8" spans="1:53" ht="24.95" customHeight="1">
      <c r="A8" s="290">
        <v>6</v>
      </c>
      <c r="B8" s="282" t="s">
        <v>95</v>
      </c>
      <c r="C8" s="284" t="s">
        <v>811</v>
      </c>
      <c r="D8" s="1"/>
      <c r="E8" s="200" t="s">
        <v>716</v>
      </c>
      <c r="F8" s="18"/>
      <c r="G8" s="199" t="s">
        <v>708</v>
      </c>
      <c r="H8" s="199" t="s">
        <v>713</v>
      </c>
      <c r="I8" s="188">
        <v>200000</v>
      </c>
      <c r="J8" s="189">
        <f t="shared" ref="J8:J29" si="0">I8*12</f>
        <v>2400000</v>
      </c>
      <c r="K8" s="190" t="s">
        <v>71</v>
      </c>
      <c r="L8" s="192" t="s">
        <v>28</v>
      </c>
      <c r="M8" s="190"/>
      <c r="N8" s="18" t="s">
        <v>96</v>
      </c>
      <c r="O8" s="18" t="s">
        <v>8</v>
      </c>
      <c r="P8" s="202" t="s">
        <v>97</v>
      </c>
      <c r="Q8" s="18"/>
      <c r="R8" s="18"/>
      <c r="S8" s="18"/>
      <c r="T8" s="202" t="s">
        <v>98</v>
      </c>
      <c r="U8" s="203"/>
      <c r="V8" s="17"/>
      <c r="W8" s="225"/>
      <c r="X8" s="18"/>
      <c r="Y8" s="18"/>
      <c r="Z8" s="299"/>
      <c r="AA8" s="195"/>
    </row>
    <row r="9" spans="1:53" ht="24.95" customHeight="1">
      <c r="A9" s="290">
        <v>7</v>
      </c>
      <c r="B9" s="282" t="s">
        <v>38</v>
      </c>
      <c r="C9" s="284" t="s">
        <v>467</v>
      </c>
      <c r="D9" s="1"/>
      <c r="E9" s="200" t="s">
        <v>716</v>
      </c>
      <c r="F9" s="18"/>
      <c r="G9" s="199" t="s">
        <v>708</v>
      </c>
      <c r="H9" s="199" t="s">
        <v>713</v>
      </c>
      <c r="I9" s="188">
        <v>200000</v>
      </c>
      <c r="J9" s="189">
        <f t="shared" si="0"/>
        <v>2400000</v>
      </c>
      <c r="K9" s="190" t="s">
        <v>72</v>
      </c>
      <c r="L9" s="192" t="s">
        <v>28</v>
      </c>
      <c r="M9" s="190"/>
      <c r="N9" s="18" t="s">
        <v>73</v>
      </c>
      <c r="O9" s="18" t="s">
        <v>29</v>
      </c>
      <c r="P9" s="202"/>
      <c r="Q9" s="18"/>
      <c r="R9" s="18"/>
      <c r="S9" s="18"/>
      <c r="T9" s="202" t="s">
        <v>39</v>
      </c>
      <c r="U9" s="203"/>
      <c r="V9" s="17"/>
      <c r="W9" s="225"/>
      <c r="X9" s="18"/>
      <c r="Y9" s="18"/>
      <c r="Z9" s="299"/>
      <c r="AA9" s="195"/>
    </row>
    <row r="10" spans="1:53" ht="24.95" customHeight="1">
      <c r="A10" s="290">
        <f>A9+1</f>
        <v>8</v>
      </c>
      <c r="B10" s="282" t="s">
        <v>65</v>
      </c>
      <c r="C10" s="297" t="s">
        <v>788</v>
      </c>
      <c r="D10" s="1"/>
      <c r="E10" s="200" t="s">
        <v>716</v>
      </c>
      <c r="F10" s="18"/>
      <c r="G10" s="199" t="s">
        <v>708</v>
      </c>
      <c r="H10" s="199" t="s">
        <v>713</v>
      </c>
      <c r="I10" s="188">
        <v>200000</v>
      </c>
      <c r="J10" s="189">
        <f t="shared" si="0"/>
        <v>2400000</v>
      </c>
      <c r="K10" s="190" t="s">
        <v>27</v>
      </c>
      <c r="L10" s="192" t="s">
        <v>28</v>
      </c>
      <c r="M10" s="190"/>
      <c r="N10" s="18" t="s">
        <v>66</v>
      </c>
      <c r="O10" s="18" t="s">
        <v>29</v>
      </c>
      <c r="P10" s="202"/>
      <c r="Q10" s="18"/>
      <c r="R10" s="18"/>
      <c r="S10" s="18"/>
      <c r="T10" s="202"/>
      <c r="U10" s="203"/>
      <c r="V10" s="17"/>
      <c r="W10" s="225"/>
      <c r="X10" s="18"/>
      <c r="Y10" s="18"/>
      <c r="Z10" s="299"/>
      <c r="AA10" s="195"/>
    </row>
    <row r="11" spans="1:53" ht="24.95" customHeight="1">
      <c r="A11" s="290">
        <f t="shared" ref="A11:A26" si="1">A10+1</f>
        <v>9</v>
      </c>
      <c r="B11" s="282" t="s">
        <v>26</v>
      </c>
      <c r="C11" s="284" t="s">
        <v>775</v>
      </c>
      <c r="D11" s="1"/>
      <c r="E11" s="200" t="s">
        <v>716</v>
      </c>
      <c r="F11" s="18"/>
      <c r="G11" s="199" t="s">
        <v>708</v>
      </c>
      <c r="H11" s="199" t="s">
        <v>713</v>
      </c>
      <c r="I11" s="188">
        <v>200000</v>
      </c>
      <c r="J11" s="189">
        <f t="shared" si="0"/>
        <v>2400000</v>
      </c>
      <c r="K11" s="190" t="s">
        <v>27</v>
      </c>
      <c r="L11" s="190" t="s">
        <v>28</v>
      </c>
      <c r="M11" s="190"/>
      <c r="N11" s="18" t="s">
        <v>31</v>
      </c>
      <c r="O11" s="18" t="s">
        <v>29</v>
      </c>
      <c r="P11" s="202"/>
      <c r="Q11" s="18"/>
      <c r="R11" s="18"/>
      <c r="S11" s="18"/>
      <c r="T11" s="204" t="s">
        <v>30</v>
      </c>
      <c r="U11" s="203"/>
      <c r="V11" s="17"/>
      <c r="W11" s="225"/>
      <c r="X11" s="18"/>
      <c r="Y11" s="18"/>
      <c r="Z11" s="299"/>
      <c r="AA11" s="195"/>
    </row>
    <row r="12" spans="1:53" ht="24.95" customHeight="1">
      <c r="A12" s="290">
        <f t="shared" si="1"/>
        <v>10</v>
      </c>
      <c r="B12" s="282" t="s">
        <v>113</v>
      </c>
      <c r="C12" s="284" t="s">
        <v>825</v>
      </c>
      <c r="D12" s="1"/>
      <c r="E12" s="200" t="s">
        <v>716</v>
      </c>
      <c r="F12" s="18"/>
      <c r="G12" s="199" t="s">
        <v>708</v>
      </c>
      <c r="H12" s="199" t="s">
        <v>713</v>
      </c>
      <c r="I12" s="188">
        <v>200000</v>
      </c>
      <c r="J12" s="188">
        <f t="shared" si="0"/>
        <v>2400000</v>
      </c>
      <c r="K12" s="190" t="s">
        <v>67</v>
      </c>
      <c r="L12" s="190" t="s">
        <v>28</v>
      </c>
      <c r="M12" s="190"/>
      <c r="N12" s="18" t="s">
        <v>114</v>
      </c>
      <c r="O12" s="18" t="s">
        <v>29</v>
      </c>
      <c r="P12" s="202"/>
      <c r="Q12" s="18"/>
      <c r="R12" s="18"/>
      <c r="S12" s="18"/>
      <c r="T12" s="204"/>
      <c r="U12" s="203"/>
      <c r="V12" s="17"/>
      <c r="W12" s="225"/>
      <c r="X12" s="18"/>
      <c r="Y12" s="18"/>
      <c r="Z12" s="299"/>
      <c r="AA12" s="195"/>
    </row>
    <row r="13" spans="1:53" ht="24.95" customHeight="1">
      <c r="A13" s="290">
        <f t="shared" si="1"/>
        <v>11</v>
      </c>
      <c r="B13" s="186" t="s">
        <v>74</v>
      </c>
      <c r="C13" s="284" t="s">
        <v>467</v>
      </c>
      <c r="D13" s="1"/>
      <c r="E13" s="200" t="s">
        <v>716</v>
      </c>
      <c r="F13" s="18"/>
      <c r="G13" s="199" t="s">
        <v>708</v>
      </c>
      <c r="H13" s="199" t="s">
        <v>713</v>
      </c>
      <c r="I13" s="188">
        <v>200000</v>
      </c>
      <c r="J13" s="188">
        <f t="shared" si="0"/>
        <v>2400000</v>
      </c>
      <c r="K13" s="190" t="s">
        <v>72</v>
      </c>
      <c r="L13" s="193" t="s">
        <v>41</v>
      </c>
      <c r="M13" s="248"/>
      <c r="N13" s="18" t="s">
        <v>75</v>
      </c>
      <c r="O13" s="18" t="s">
        <v>8</v>
      </c>
      <c r="P13" s="202"/>
      <c r="Q13" s="18"/>
      <c r="R13" s="18"/>
      <c r="S13" s="18"/>
      <c r="T13" s="202" t="s">
        <v>42</v>
      </c>
      <c r="U13" s="203"/>
      <c r="V13" s="17"/>
      <c r="W13" s="225"/>
      <c r="X13" s="18"/>
      <c r="Y13" s="18"/>
      <c r="Z13" s="299"/>
      <c r="AA13" s="195"/>
    </row>
    <row r="14" spans="1:53" ht="24.95" customHeight="1">
      <c r="A14" s="290">
        <f t="shared" si="1"/>
        <v>12</v>
      </c>
      <c r="B14" s="282" t="s">
        <v>58</v>
      </c>
      <c r="C14" s="297" t="s">
        <v>774</v>
      </c>
      <c r="D14" s="1"/>
      <c r="E14" s="200" t="s">
        <v>716</v>
      </c>
      <c r="F14" s="18"/>
      <c r="G14" s="199" t="s">
        <v>708</v>
      </c>
      <c r="H14" s="199" t="s">
        <v>713</v>
      </c>
      <c r="I14" s="188">
        <v>200000</v>
      </c>
      <c r="J14" s="188">
        <f t="shared" si="0"/>
        <v>2400000</v>
      </c>
      <c r="K14" s="190" t="s">
        <v>72</v>
      </c>
      <c r="L14" s="193" t="s">
        <v>41</v>
      </c>
      <c r="M14" s="248"/>
      <c r="N14" s="18" t="s">
        <v>73</v>
      </c>
      <c r="O14" s="18" t="s">
        <v>29</v>
      </c>
      <c r="P14" s="202"/>
      <c r="Q14" s="18"/>
      <c r="R14" s="18"/>
      <c r="S14" s="18"/>
      <c r="T14" s="202" t="s">
        <v>40</v>
      </c>
      <c r="U14" s="203"/>
      <c r="V14" s="17"/>
      <c r="W14" s="225"/>
      <c r="X14" s="18"/>
      <c r="Y14" s="18"/>
      <c r="Z14" s="299"/>
      <c r="AA14" s="195"/>
    </row>
    <row r="15" spans="1:53" ht="24.95" customHeight="1">
      <c r="A15" s="290">
        <f t="shared" si="1"/>
        <v>13</v>
      </c>
      <c r="B15" s="186" t="s">
        <v>21</v>
      </c>
      <c r="C15" s="284" t="s">
        <v>812</v>
      </c>
      <c r="D15" s="1"/>
      <c r="E15" s="200" t="s">
        <v>716</v>
      </c>
      <c r="F15" s="18"/>
      <c r="G15" s="199" t="s">
        <v>708</v>
      </c>
      <c r="H15" s="199" t="s">
        <v>713</v>
      </c>
      <c r="I15" s="188">
        <v>100000</v>
      </c>
      <c r="J15" s="188">
        <f t="shared" si="0"/>
        <v>1200000</v>
      </c>
      <c r="K15" s="190" t="s">
        <v>22</v>
      </c>
      <c r="L15" s="18" t="s">
        <v>20</v>
      </c>
      <c r="M15" s="190"/>
      <c r="N15" s="18" t="s">
        <v>23</v>
      </c>
      <c r="O15" s="18" t="s">
        <v>8</v>
      </c>
      <c r="P15" s="202" t="s">
        <v>24</v>
      </c>
      <c r="Q15" s="18"/>
      <c r="R15" s="18"/>
      <c r="S15" s="18"/>
      <c r="T15" s="204" t="s">
        <v>25</v>
      </c>
      <c r="U15" s="203"/>
      <c r="V15" s="17"/>
      <c r="W15" s="225"/>
      <c r="X15" s="18"/>
      <c r="Y15" s="18"/>
      <c r="Z15" s="299"/>
      <c r="AA15" s="195"/>
    </row>
    <row r="16" spans="1:53" ht="24.95" customHeight="1">
      <c r="A16" s="290">
        <f t="shared" si="1"/>
        <v>14</v>
      </c>
      <c r="B16" s="186" t="s">
        <v>36</v>
      </c>
      <c r="C16" s="284" t="s">
        <v>826</v>
      </c>
      <c r="D16" s="1"/>
      <c r="E16" s="200" t="s">
        <v>716</v>
      </c>
      <c r="F16" s="18"/>
      <c r="G16" s="199" t="s">
        <v>708</v>
      </c>
      <c r="H16" s="199" t="s">
        <v>713</v>
      </c>
      <c r="I16" s="188">
        <v>100000</v>
      </c>
      <c r="J16" s="188">
        <f t="shared" si="0"/>
        <v>1200000</v>
      </c>
      <c r="K16" s="190" t="s">
        <v>67</v>
      </c>
      <c r="L16" s="20" t="s">
        <v>20</v>
      </c>
      <c r="M16" s="248"/>
      <c r="N16" s="18" t="s">
        <v>69</v>
      </c>
      <c r="O16" s="18" t="s">
        <v>8</v>
      </c>
      <c r="P16" s="202"/>
      <c r="Q16" s="18" t="s">
        <v>70</v>
      </c>
      <c r="R16" s="18"/>
      <c r="S16" s="18"/>
      <c r="T16" s="202"/>
      <c r="U16" s="203"/>
      <c r="V16" s="17" t="s">
        <v>70</v>
      </c>
      <c r="W16" s="225"/>
      <c r="X16" s="18"/>
      <c r="Y16" s="18"/>
      <c r="Z16" s="299"/>
      <c r="AA16" s="195"/>
    </row>
    <row r="17" spans="1:27" ht="24.95" customHeight="1">
      <c r="A17" s="290">
        <f t="shared" si="1"/>
        <v>15</v>
      </c>
      <c r="B17" s="282" t="s">
        <v>102</v>
      </c>
      <c r="C17" s="284" t="s">
        <v>749</v>
      </c>
      <c r="D17" s="1"/>
      <c r="E17" s="200" t="s">
        <v>716</v>
      </c>
      <c r="F17" s="1"/>
      <c r="G17" s="199" t="s">
        <v>708</v>
      </c>
      <c r="H17" s="199" t="s">
        <v>713</v>
      </c>
      <c r="I17" s="188">
        <v>50000</v>
      </c>
      <c r="J17" s="188">
        <f t="shared" si="0"/>
        <v>600000</v>
      </c>
      <c r="K17" s="191" t="s">
        <v>104</v>
      </c>
      <c r="L17" s="1" t="s">
        <v>111</v>
      </c>
      <c r="M17" s="191"/>
      <c r="N17" s="1" t="s">
        <v>105</v>
      </c>
      <c r="O17" s="18" t="s">
        <v>8</v>
      </c>
      <c r="P17" s="205"/>
      <c r="Q17" s="18" t="s">
        <v>106</v>
      </c>
      <c r="R17" s="1"/>
      <c r="S17" s="1"/>
      <c r="T17" s="202"/>
      <c r="U17" s="206"/>
      <c r="V17" s="6" t="s">
        <v>106</v>
      </c>
      <c r="W17" s="226"/>
      <c r="X17" s="1"/>
      <c r="Y17" s="1"/>
      <c r="Z17" s="299"/>
      <c r="AA17" s="195"/>
    </row>
    <row r="18" spans="1:27" ht="24.95" customHeight="1">
      <c r="A18" s="290">
        <f t="shared" si="1"/>
        <v>16</v>
      </c>
      <c r="B18" s="197" t="s">
        <v>45</v>
      </c>
      <c r="C18" s="284" t="s">
        <v>827</v>
      </c>
      <c r="D18" s="1"/>
      <c r="E18" s="200" t="s">
        <v>716</v>
      </c>
      <c r="F18" s="18"/>
      <c r="G18" s="199" t="s">
        <v>708</v>
      </c>
      <c r="H18" s="199" t="s">
        <v>713</v>
      </c>
      <c r="I18" s="188">
        <v>50000</v>
      </c>
      <c r="J18" s="188">
        <f t="shared" si="0"/>
        <v>600000</v>
      </c>
      <c r="K18" s="190" t="s">
        <v>71</v>
      </c>
      <c r="L18" s="187" t="s">
        <v>32</v>
      </c>
      <c r="M18" s="190"/>
      <c r="N18" s="18" t="s">
        <v>46</v>
      </c>
      <c r="O18" s="18" t="s">
        <v>8</v>
      </c>
      <c r="P18" s="202"/>
      <c r="Q18" s="202" t="s">
        <v>47</v>
      </c>
      <c r="R18" s="18"/>
      <c r="S18" s="18"/>
      <c r="T18" s="202"/>
      <c r="U18" s="203"/>
      <c r="V18" s="16" t="s">
        <v>47</v>
      </c>
      <c r="W18" s="227"/>
      <c r="X18" s="202"/>
      <c r="Y18" s="202"/>
      <c r="Z18" s="299"/>
      <c r="AA18" s="195"/>
    </row>
    <row r="19" spans="1:27" ht="24.95" customHeight="1">
      <c r="A19" s="290">
        <f t="shared" si="1"/>
        <v>17</v>
      </c>
      <c r="B19" s="197" t="s">
        <v>43</v>
      </c>
      <c r="C19" s="297" t="s">
        <v>781</v>
      </c>
      <c r="D19" s="1"/>
      <c r="E19" s="200" t="s">
        <v>716</v>
      </c>
      <c r="F19" s="18"/>
      <c r="G19" s="199" t="s">
        <v>708</v>
      </c>
      <c r="H19" s="199" t="s">
        <v>713</v>
      </c>
      <c r="I19" s="188">
        <v>50000</v>
      </c>
      <c r="J19" s="188">
        <f t="shared" si="0"/>
        <v>600000</v>
      </c>
      <c r="K19" s="190" t="s">
        <v>76</v>
      </c>
      <c r="L19" s="18" t="s">
        <v>20</v>
      </c>
      <c r="M19" s="190"/>
      <c r="N19" s="18" t="s">
        <v>77</v>
      </c>
      <c r="O19" s="18" t="s">
        <v>29</v>
      </c>
      <c r="P19" s="202"/>
      <c r="Q19" s="18"/>
      <c r="R19" s="18"/>
      <c r="S19" s="18"/>
      <c r="T19" s="202"/>
      <c r="U19" s="203"/>
      <c r="V19" s="17"/>
      <c r="W19" s="225"/>
      <c r="X19" s="18"/>
      <c r="Y19" s="18"/>
      <c r="Z19" s="299"/>
      <c r="AA19" s="195"/>
    </row>
    <row r="20" spans="1:27" ht="24.95" customHeight="1">
      <c r="A20" s="290">
        <f t="shared" si="1"/>
        <v>18</v>
      </c>
      <c r="B20" s="197" t="s">
        <v>44</v>
      </c>
      <c r="C20" s="284" t="s">
        <v>798</v>
      </c>
      <c r="D20" s="1"/>
      <c r="E20" s="200" t="s">
        <v>716</v>
      </c>
      <c r="F20" s="18"/>
      <c r="G20" s="199" t="s">
        <v>708</v>
      </c>
      <c r="H20" s="199" t="s">
        <v>713</v>
      </c>
      <c r="I20" s="188">
        <v>50000</v>
      </c>
      <c r="J20" s="188">
        <f t="shared" si="0"/>
        <v>600000</v>
      </c>
      <c r="K20" s="190" t="s">
        <v>67</v>
      </c>
      <c r="L20" s="18" t="s">
        <v>109</v>
      </c>
      <c r="M20" s="190"/>
      <c r="N20" s="18" t="s">
        <v>79</v>
      </c>
      <c r="O20" s="18" t="s">
        <v>8</v>
      </c>
      <c r="P20" s="202"/>
      <c r="Q20" s="202" t="s">
        <v>80</v>
      </c>
      <c r="R20" s="18"/>
      <c r="S20" s="18"/>
      <c r="T20" s="202"/>
      <c r="U20" s="203"/>
      <c r="V20" s="16" t="s">
        <v>80</v>
      </c>
      <c r="W20" s="227"/>
      <c r="X20" s="202"/>
      <c r="Y20" s="202"/>
      <c r="Z20" s="299"/>
      <c r="AA20" s="195"/>
    </row>
    <row r="21" spans="1:27" ht="24.95" customHeight="1">
      <c r="A21" s="290">
        <f t="shared" si="1"/>
        <v>19</v>
      </c>
      <c r="B21" s="197" t="s">
        <v>48</v>
      </c>
      <c r="C21" s="284" t="s">
        <v>828</v>
      </c>
      <c r="D21" s="1"/>
      <c r="E21" s="200" t="s">
        <v>716</v>
      </c>
      <c r="F21" s="18"/>
      <c r="G21" s="199" t="s">
        <v>708</v>
      </c>
      <c r="H21" s="199" t="s">
        <v>713</v>
      </c>
      <c r="I21" s="188">
        <v>30000</v>
      </c>
      <c r="J21" s="188">
        <f t="shared" si="0"/>
        <v>360000</v>
      </c>
      <c r="K21" s="190" t="s">
        <v>81</v>
      </c>
      <c r="L21" s="187" t="s">
        <v>37</v>
      </c>
      <c r="M21" s="190"/>
      <c r="N21" s="18" t="s">
        <v>49</v>
      </c>
      <c r="O21" s="18" t="s">
        <v>8</v>
      </c>
      <c r="P21" s="202"/>
      <c r="Q21" s="18"/>
      <c r="R21" s="18"/>
      <c r="S21" s="18"/>
      <c r="T21" s="202"/>
      <c r="U21" s="203"/>
      <c r="V21" s="17"/>
      <c r="W21" s="225"/>
      <c r="X21" s="18"/>
      <c r="Y21" s="18"/>
      <c r="Z21" s="299"/>
      <c r="AA21" s="195"/>
    </row>
    <row r="22" spans="1:27" ht="24.95" customHeight="1">
      <c r="A22" s="290">
        <f t="shared" si="1"/>
        <v>20</v>
      </c>
      <c r="B22" s="282" t="s">
        <v>50</v>
      </c>
      <c r="C22" s="284" t="s">
        <v>843</v>
      </c>
      <c r="D22" s="1"/>
      <c r="E22" s="200" t="s">
        <v>716</v>
      </c>
      <c r="F22" s="18"/>
      <c r="G22" s="199" t="s">
        <v>708</v>
      </c>
      <c r="H22" s="199" t="s">
        <v>713</v>
      </c>
      <c r="I22" s="188">
        <v>30000</v>
      </c>
      <c r="J22" s="188">
        <f t="shared" si="0"/>
        <v>360000</v>
      </c>
      <c r="K22" s="190" t="s">
        <v>71</v>
      </c>
      <c r="L22" s="187" t="s">
        <v>32</v>
      </c>
      <c r="M22" s="190"/>
      <c r="N22" s="18" t="s">
        <v>51</v>
      </c>
      <c r="O22" s="18" t="s">
        <v>8</v>
      </c>
      <c r="P22" s="202" t="s">
        <v>82</v>
      </c>
      <c r="Q22" s="18"/>
      <c r="R22" s="18"/>
      <c r="S22" s="18"/>
      <c r="T22" s="202"/>
      <c r="U22" s="203"/>
      <c r="V22" s="17"/>
      <c r="W22" s="225"/>
      <c r="X22" s="18"/>
      <c r="Y22" s="18"/>
      <c r="Z22" s="299"/>
      <c r="AA22" s="195"/>
    </row>
    <row r="23" spans="1:27" ht="24.95" customHeight="1">
      <c r="A23" s="290">
        <f t="shared" si="1"/>
        <v>21</v>
      </c>
      <c r="B23" s="282" t="s">
        <v>52</v>
      </c>
      <c r="C23" s="284" t="s">
        <v>843</v>
      </c>
      <c r="D23" s="1"/>
      <c r="E23" s="200" t="s">
        <v>716</v>
      </c>
      <c r="F23" s="18"/>
      <c r="G23" s="199" t="s">
        <v>708</v>
      </c>
      <c r="H23" s="199" t="s">
        <v>713</v>
      </c>
      <c r="I23" s="188">
        <v>30000</v>
      </c>
      <c r="J23" s="188">
        <f t="shared" si="0"/>
        <v>360000</v>
      </c>
      <c r="K23" s="190" t="s">
        <v>71</v>
      </c>
      <c r="L23" s="187" t="s">
        <v>32</v>
      </c>
      <c r="M23" s="190"/>
      <c r="N23" s="18" t="s">
        <v>53</v>
      </c>
      <c r="O23" s="18" t="s">
        <v>8</v>
      </c>
      <c r="P23" s="202"/>
      <c r="Q23" s="18" t="s">
        <v>55</v>
      </c>
      <c r="R23" s="18"/>
      <c r="S23" s="18"/>
      <c r="T23" s="202" t="s">
        <v>54</v>
      </c>
      <c r="U23" s="203"/>
      <c r="V23" s="17" t="s">
        <v>55</v>
      </c>
      <c r="W23" s="225"/>
      <c r="X23" s="18"/>
      <c r="Y23" s="18"/>
      <c r="Z23" s="299"/>
      <c r="AA23" s="195"/>
    </row>
    <row r="24" spans="1:27" ht="24.95" customHeight="1">
      <c r="A24" s="290">
        <f t="shared" si="1"/>
        <v>22</v>
      </c>
      <c r="B24" s="197" t="s">
        <v>56</v>
      </c>
      <c r="C24" s="284" t="s">
        <v>738</v>
      </c>
      <c r="D24" s="1"/>
      <c r="E24" s="200" t="s">
        <v>716</v>
      </c>
      <c r="F24" s="18"/>
      <c r="G24" s="199" t="s">
        <v>708</v>
      </c>
      <c r="H24" s="199" t="s">
        <v>713</v>
      </c>
      <c r="I24" s="188">
        <v>30000</v>
      </c>
      <c r="J24" s="188">
        <f t="shared" si="0"/>
        <v>360000</v>
      </c>
      <c r="K24" s="190" t="s">
        <v>71</v>
      </c>
      <c r="L24" s="187" t="s">
        <v>32</v>
      </c>
      <c r="M24" s="190"/>
      <c r="N24" s="18" t="s">
        <v>83</v>
      </c>
      <c r="O24" s="18" t="s">
        <v>8</v>
      </c>
      <c r="P24" s="202"/>
      <c r="Q24" s="18"/>
      <c r="R24" s="18"/>
      <c r="S24" s="18"/>
      <c r="T24" s="202" t="s">
        <v>57</v>
      </c>
      <c r="U24" s="203"/>
      <c r="V24" s="17"/>
      <c r="W24" s="225"/>
      <c r="X24" s="18"/>
      <c r="Y24" s="18"/>
      <c r="Z24" s="299"/>
      <c r="AA24" s="195"/>
    </row>
    <row r="25" spans="1:27" ht="24.95" customHeight="1">
      <c r="A25" s="290">
        <f t="shared" si="1"/>
        <v>23</v>
      </c>
      <c r="B25" s="282" t="s">
        <v>59</v>
      </c>
      <c r="C25" s="284" t="s">
        <v>750</v>
      </c>
      <c r="D25" s="1"/>
      <c r="E25" s="200" t="s">
        <v>716</v>
      </c>
      <c r="F25" s="18"/>
      <c r="G25" s="199" t="s">
        <v>708</v>
      </c>
      <c r="H25" s="199" t="s">
        <v>713</v>
      </c>
      <c r="I25" s="188">
        <v>20000</v>
      </c>
      <c r="J25" s="188">
        <f t="shared" si="0"/>
        <v>240000</v>
      </c>
      <c r="K25" s="190" t="s">
        <v>84</v>
      </c>
      <c r="L25" s="187" t="s">
        <v>32</v>
      </c>
      <c r="M25" s="190"/>
      <c r="N25" s="18" t="s">
        <v>61</v>
      </c>
      <c r="O25" s="18" t="s">
        <v>8</v>
      </c>
      <c r="P25" s="202" t="s">
        <v>85</v>
      </c>
      <c r="Q25" s="18"/>
      <c r="R25" s="18"/>
      <c r="S25" s="18"/>
      <c r="T25" s="202" t="s">
        <v>60</v>
      </c>
      <c r="U25" s="203"/>
      <c r="V25" s="17"/>
      <c r="W25" s="225"/>
      <c r="X25" s="18"/>
      <c r="Y25" s="18"/>
      <c r="Z25" s="299"/>
      <c r="AA25" s="195"/>
    </row>
    <row r="26" spans="1:27" ht="24.95" customHeight="1">
      <c r="A26" s="290">
        <f t="shared" si="1"/>
        <v>24</v>
      </c>
      <c r="B26" s="282" t="s">
        <v>87</v>
      </c>
      <c r="C26" s="284" t="s">
        <v>808</v>
      </c>
      <c r="D26" s="1"/>
      <c r="E26" s="200" t="s">
        <v>716</v>
      </c>
      <c r="F26" s="18"/>
      <c r="G26" s="199" t="s">
        <v>708</v>
      </c>
      <c r="H26" s="199" t="s">
        <v>713</v>
      </c>
      <c r="I26" s="188">
        <v>20000</v>
      </c>
      <c r="J26" s="188">
        <f t="shared" si="0"/>
        <v>240000</v>
      </c>
      <c r="K26" s="190" t="s">
        <v>86</v>
      </c>
      <c r="L26" s="18" t="s">
        <v>110</v>
      </c>
      <c r="M26" s="190"/>
      <c r="N26" s="18" t="s">
        <v>62</v>
      </c>
      <c r="O26" s="18" t="s">
        <v>8</v>
      </c>
      <c r="P26" s="202"/>
      <c r="Q26" s="18" t="s">
        <v>64</v>
      </c>
      <c r="R26" s="18"/>
      <c r="S26" s="18"/>
      <c r="T26" s="202" t="s">
        <v>63</v>
      </c>
      <c r="U26" s="203"/>
      <c r="V26" s="17" t="s">
        <v>64</v>
      </c>
      <c r="W26" s="225"/>
      <c r="X26" s="18"/>
      <c r="Y26" s="18"/>
      <c r="Z26" s="299"/>
      <c r="AA26" s="195"/>
    </row>
    <row r="27" spans="1:27" ht="24.95" customHeight="1">
      <c r="A27" s="290">
        <v>25</v>
      </c>
      <c r="B27" s="282" t="s">
        <v>90</v>
      </c>
      <c r="C27" s="284" t="s">
        <v>793</v>
      </c>
      <c r="D27" s="1"/>
      <c r="E27" s="200" t="s">
        <v>716</v>
      </c>
      <c r="F27" s="18"/>
      <c r="G27" s="199" t="s">
        <v>708</v>
      </c>
      <c r="H27" s="199" t="s">
        <v>713</v>
      </c>
      <c r="I27" s="188">
        <v>30000</v>
      </c>
      <c r="J27" s="188">
        <f t="shared" si="0"/>
        <v>360000</v>
      </c>
      <c r="K27" s="190" t="s">
        <v>78</v>
      </c>
      <c r="L27" s="187" t="s">
        <v>32</v>
      </c>
      <c r="M27" s="190"/>
      <c r="N27" s="18" t="s">
        <v>91</v>
      </c>
      <c r="O27" s="18" t="s">
        <v>8</v>
      </c>
      <c r="P27" s="202"/>
      <c r="Q27" s="18"/>
      <c r="R27" s="18"/>
      <c r="S27" s="18"/>
      <c r="T27" s="202" t="s">
        <v>88</v>
      </c>
      <c r="U27" s="203"/>
      <c r="V27" s="17"/>
      <c r="W27" s="225"/>
      <c r="X27" s="18"/>
      <c r="Y27" s="18"/>
      <c r="Z27" s="299"/>
      <c r="AA27" s="195"/>
    </row>
    <row r="28" spans="1:27" ht="24.95" customHeight="1">
      <c r="A28" s="290">
        <v>26</v>
      </c>
      <c r="B28" s="282" t="s">
        <v>92</v>
      </c>
      <c r="C28" s="284" t="s">
        <v>844</v>
      </c>
      <c r="D28" s="1"/>
      <c r="E28" s="200" t="s">
        <v>716</v>
      </c>
      <c r="F28" s="18"/>
      <c r="G28" s="199" t="s">
        <v>708</v>
      </c>
      <c r="H28" s="199" t="s">
        <v>713</v>
      </c>
      <c r="I28" s="188">
        <v>30000</v>
      </c>
      <c r="J28" s="188">
        <f t="shared" si="0"/>
        <v>360000</v>
      </c>
      <c r="K28" s="190" t="s">
        <v>72</v>
      </c>
      <c r="L28" s="18" t="s">
        <v>112</v>
      </c>
      <c r="M28" s="190"/>
      <c r="N28" s="18" t="s">
        <v>93</v>
      </c>
      <c r="O28" s="18" t="s">
        <v>29</v>
      </c>
      <c r="P28" s="202"/>
      <c r="Q28" s="18" t="s">
        <v>99</v>
      </c>
      <c r="R28" s="18"/>
      <c r="S28" s="18"/>
      <c r="T28" s="202" t="s">
        <v>94</v>
      </c>
      <c r="U28" s="203"/>
      <c r="V28" s="17" t="s">
        <v>99</v>
      </c>
      <c r="W28" s="225"/>
      <c r="X28" s="18"/>
      <c r="Y28" s="18"/>
      <c r="Z28" s="299"/>
      <c r="AA28" s="195"/>
    </row>
    <row r="29" spans="1:27" ht="24.95" customHeight="1" thickBot="1">
      <c r="A29" s="290">
        <v>27</v>
      </c>
      <c r="B29" s="198" t="s">
        <v>103</v>
      </c>
      <c r="C29" s="284" t="s">
        <v>741</v>
      </c>
      <c r="D29" s="1"/>
      <c r="E29" s="200" t="s">
        <v>716</v>
      </c>
      <c r="F29" s="1"/>
      <c r="G29" s="199" t="s">
        <v>708</v>
      </c>
      <c r="H29" s="199" t="s">
        <v>713</v>
      </c>
      <c r="I29" s="188">
        <v>30000</v>
      </c>
      <c r="J29" s="188">
        <f t="shared" si="0"/>
        <v>360000</v>
      </c>
      <c r="K29" s="191" t="s">
        <v>71</v>
      </c>
      <c r="L29" s="187" t="s">
        <v>32</v>
      </c>
      <c r="M29" s="191"/>
      <c r="N29" s="1" t="s">
        <v>107</v>
      </c>
      <c r="O29" s="18" t="s">
        <v>8</v>
      </c>
      <c r="P29" s="205"/>
      <c r="Q29" s="18" t="s">
        <v>108</v>
      </c>
      <c r="R29" s="1"/>
      <c r="S29" s="1"/>
      <c r="T29" s="202"/>
      <c r="U29" s="206"/>
      <c r="V29" s="6" t="s">
        <v>108</v>
      </c>
      <c r="W29" s="226"/>
      <c r="X29" s="1"/>
      <c r="Y29" s="1"/>
      <c r="Z29" s="299"/>
      <c r="AA29" s="195"/>
    </row>
    <row r="30" spans="1:27" ht="24.95" customHeight="1">
      <c r="A30" s="291">
        <v>1</v>
      </c>
      <c r="B30" s="198" t="s">
        <v>119</v>
      </c>
      <c r="C30" s="285" t="s">
        <v>784</v>
      </c>
      <c r="D30" s="281" t="s">
        <v>120</v>
      </c>
      <c r="E30" s="200" t="s">
        <v>716</v>
      </c>
      <c r="F30" s="1"/>
      <c r="G30" s="199" t="s">
        <v>717</v>
      </c>
      <c r="H30" s="199" t="s">
        <v>713</v>
      </c>
      <c r="I30" s="188"/>
      <c r="J30" s="188"/>
      <c r="K30" s="190" t="s">
        <v>122</v>
      </c>
      <c r="L30" s="53" t="s">
        <v>123</v>
      </c>
      <c r="M30" s="249"/>
      <c r="N30" s="53" t="s">
        <v>124</v>
      </c>
      <c r="O30" s="103" t="s">
        <v>125</v>
      </c>
      <c r="P30" s="207" t="s">
        <v>126</v>
      </c>
      <c r="Q30" s="208" t="s">
        <v>127</v>
      </c>
      <c r="R30" s="53"/>
      <c r="S30" s="53"/>
      <c r="T30" s="209" t="s">
        <v>128</v>
      </c>
      <c r="V30" s="228" t="s">
        <v>129</v>
      </c>
      <c r="W30" s="226"/>
      <c r="X30" s="1"/>
      <c r="Y30" s="1"/>
      <c r="Z30" s="299"/>
    </row>
    <row r="31" spans="1:27" ht="24.95" customHeight="1">
      <c r="A31" s="292">
        <v>2</v>
      </c>
      <c r="B31" s="198" t="s">
        <v>130</v>
      </c>
      <c r="C31" s="284" t="s">
        <v>740</v>
      </c>
      <c r="D31" s="72" t="s">
        <v>120</v>
      </c>
      <c r="E31" s="200" t="s">
        <v>716</v>
      </c>
      <c r="F31" s="1"/>
      <c r="G31" s="199" t="s">
        <v>717</v>
      </c>
      <c r="H31" s="199" t="s">
        <v>713</v>
      </c>
      <c r="I31" s="188"/>
      <c r="J31" s="188"/>
      <c r="K31" s="190" t="s">
        <v>132</v>
      </c>
      <c r="L31" s="1" t="s">
        <v>123</v>
      </c>
      <c r="M31" s="190"/>
      <c r="N31" s="1" t="s">
        <v>133</v>
      </c>
      <c r="O31" s="72" t="s">
        <v>134</v>
      </c>
      <c r="P31" s="1" t="s">
        <v>135</v>
      </c>
      <c r="Q31" s="1"/>
      <c r="R31" s="1"/>
      <c r="S31" s="1"/>
      <c r="T31" s="213"/>
      <c r="V31" s="67" t="s">
        <v>136</v>
      </c>
      <c r="W31" s="226"/>
      <c r="X31" s="1"/>
      <c r="Y31" s="1"/>
      <c r="Z31" s="299"/>
    </row>
    <row r="32" spans="1:27" ht="24.95" customHeight="1">
      <c r="A32" s="292">
        <v>3</v>
      </c>
      <c r="B32" s="198" t="s">
        <v>137</v>
      </c>
      <c r="C32" s="284" t="s">
        <v>845</v>
      </c>
      <c r="D32" s="72" t="s">
        <v>138</v>
      </c>
      <c r="E32" s="200" t="s">
        <v>716</v>
      </c>
      <c r="F32" s="1"/>
      <c r="G32" s="199" t="s">
        <v>717</v>
      </c>
      <c r="H32" s="199" t="s">
        <v>713</v>
      </c>
      <c r="I32" s="188"/>
      <c r="J32" s="188"/>
      <c r="K32" s="190" t="s">
        <v>140</v>
      </c>
      <c r="L32" s="68" t="s">
        <v>123</v>
      </c>
      <c r="M32" s="190"/>
      <c r="N32" s="68" t="s">
        <v>141</v>
      </c>
      <c r="O32" s="72" t="s">
        <v>125</v>
      </c>
      <c r="P32" s="68" t="s">
        <v>142</v>
      </c>
      <c r="Q32" s="68" t="s">
        <v>143</v>
      </c>
      <c r="R32" s="68" t="s">
        <v>144</v>
      </c>
      <c r="S32" s="68" t="s">
        <v>144</v>
      </c>
      <c r="T32" s="214" t="s">
        <v>145</v>
      </c>
      <c r="V32" s="67" t="s">
        <v>146</v>
      </c>
      <c r="W32" s="226"/>
      <c r="X32" s="1"/>
      <c r="Y32" s="1"/>
      <c r="Z32" s="299"/>
    </row>
    <row r="33" spans="1:26" ht="24.95" customHeight="1">
      <c r="A33" s="292">
        <v>4</v>
      </c>
      <c r="B33" s="198" t="s">
        <v>147</v>
      </c>
      <c r="C33" s="284" t="s">
        <v>753</v>
      </c>
      <c r="D33" s="72" t="s">
        <v>120</v>
      </c>
      <c r="E33" s="200" t="s">
        <v>716</v>
      </c>
      <c r="F33" s="1"/>
      <c r="G33" s="199" t="s">
        <v>717</v>
      </c>
      <c r="H33" s="199" t="s">
        <v>713</v>
      </c>
      <c r="I33" s="188"/>
      <c r="J33" s="188"/>
      <c r="K33" s="190" t="s">
        <v>122</v>
      </c>
      <c r="L33" s="1" t="s">
        <v>123</v>
      </c>
      <c r="M33" s="190"/>
      <c r="N33" s="1" t="s">
        <v>148</v>
      </c>
      <c r="O33" s="72" t="s">
        <v>134</v>
      </c>
      <c r="P33" s="1" t="s">
        <v>149</v>
      </c>
      <c r="Q33" s="1" t="s">
        <v>150</v>
      </c>
      <c r="R33" s="1"/>
      <c r="S33" s="1"/>
      <c r="T33" s="215" t="s">
        <v>151</v>
      </c>
      <c r="V33" s="67" t="s">
        <v>152</v>
      </c>
      <c r="W33" s="226"/>
      <c r="X33" s="1"/>
      <c r="Y33" s="1"/>
      <c r="Z33" s="299"/>
    </row>
    <row r="34" spans="1:26" ht="24.95" customHeight="1">
      <c r="A34" s="292">
        <v>5</v>
      </c>
      <c r="B34" s="198" t="s">
        <v>153</v>
      </c>
      <c r="C34" s="284" t="s">
        <v>745</v>
      </c>
      <c r="D34" s="1" t="s">
        <v>120</v>
      </c>
      <c r="E34" s="200" t="s">
        <v>716</v>
      </c>
      <c r="F34" s="1"/>
      <c r="G34" s="199" t="s">
        <v>717</v>
      </c>
      <c r="H34" s="199" t="s">
        <v>713</v>
      </c>
      <c r="I34" s="188"/>
      <c r="J34" s="188"/>
      <c r="K34" s="190" t="s">
        <v>154</v>
      </c>
      <c r="L34" s="1" t="s">
        <v>123</v>
      </c>
      <c r="M34" s="190"/>
      <c r="N34" s="1" t="s">
        <v>155</v>
      </c>
      <c r="O34" s="1" t="s">
        <v>125</v>
      </c>
      <c r="P34" s="205" t="s">
        <v>156</v>
      </c>
      <c r="Q34" s="1" t="s">
        <v>157</v>
      </c>
      <c r="R34" s="1"/>
      <c r="S34" s="1"/>
      <c r="T34" s="202" t="s">
        <v>158</v>
      </c>
      <c r="V34" s="67" t="s">
        <v>159</v>
      </c>
      <c r="W34" s="226"/>
      <c r="X34" s="1"/>
      <c r="Y34" s="1"/>
      <c r="Z34" s="299"/>
    </row>
    <row r="35" spans="1:26" ht="24.95" customHeight="1">
      <c r="A35" s="292">
        <v>6</v>
      </c>
      <c r="B35" s="198" t="s">
        <v>160</v>
      </c>
      <c r="C35" s="284" t="s">
        <v>742</v>
      </c>
      <c r="D35" s="72" t="s">
        <v>161</v>
      </c>
      <c r="E35" s="200" t="s">
        <v>716</v>
      </c>
      <c r="F35" s="1"/>
      <c r="G35" s="199" t="s">
        <v>717</v>
      </c>
      <c r="H35" s="199" t="s">
        <v>713</v>
      </c>
      <c r="I35" s="188"/>
      <c r="J35" s="188"/>
      <c r="K35" s="190" t="s">
        <v>163</v>
      </c>
      <c r="L35" s="1" t="s">
        <v>123</v>
      </c>
      <c r="M35" s="190"/>
      <c r="N35" s="18" t="s">
        <v>164</v>
      </c>
      <c r="O35" s="72" t="s">
        <v>134</v>
      </c>
      <c r="P35" s="18"/>
      <c r="Q35" s="1" t="s">
        <v>165</v>
      </c>
      <c r="R35" s="1" t="s">
        <v>166</v>
      </c>
      <c r="S35" s="1" t="s">
        <v>166</v>
      </c>
      <c r="T35" s="216"/>
      <c r="V35" s="67" t="s">
        <v>167</v>
      </c>
      <c r="W35" s="226"/>
      <c r="X35" s="1"/>
      <c r="Y35" s="1"/>
      <c r="Z35" s="299"/>
    </row>
    <row r="36" spans="1:26" ht="24.95" customHeight="1">
      <c r="A36" s="292">
        <v>7</v>
      </c>
      <c r="B36" s="198" t="s">
        <v>168</v>
      </c>
      <c r="C36" s="284" t="s">
        <v>730</v>
      </c>
      <c r="D36" s="72" t="s">
        <v>120</v>
      </c>
      <c r="E36" s="200" t="s">
        <v>716</v>
      </c>
      <c r="F36" s="1"/>
      <c r="G36" s="199" t="s">
        <v>717</v>
      </c>
      <c r="H36" s="199" t="s">
        <v>713</v>
      </c>
      <c r="I36" s="188"/>
      <c r="J36" s="188"/>
      <c r="K36" s="190" t="s">
        <v>154</v>
      </c>
      <c r="L36" s="1" t="s">
        <v>123</v>
      </c>
      <c r="M36" s="190"/>
      <c r="N36" s="18" t="s">
        <v>170</v>
      </c>
      <c r="O36" s="72" t="s">
        <v>125</v>
      </c>
      <c r="P36" s="18"/>
      <c r="Q36" s="1" t="s">
        <v>171</v>
      </c>
      <c r="R36" s="1" t="s">
        <v>172</v>
      </c>
      <c r="S36" s="1" t="s">
        <v>172</v>
      </c>
      <c r="T36" s="217" t="s">
        <v>173</v>
      </c>
      <c r="V36" s="67" t="s">
        <v>174</v>
      </c>
      <c r="W36" s="226"/>
      <c r="X36" s="1"/>
      <c r="Y36" s="1"/>
      <c r="Z36" s="299"/>
    </row>
    <row r="37" spans="1:26" ht="24.95" customHeight="1">
      <c r="A37" s="292">
        <v>8</v>
      </c>
      <c r="B37" s="198" t="s">
        <v>175</v>
      </c>
      <c r="C37" s="284" t="s">
        <v>731</v>
      </c>
      <c r="D37" s="72" t="s">
        <v>176</v>
      </c>
      <c r="E37" s="200" t="s">
        <v>716</v>
      </c>
      <c r="F37" s="1"/>
      <c r="G37" s="199" t="s">
        <v>717</v>
      </c>
      <c r="H37" s="199" t="s">
        <v>713</v>
      </c>
      <c r="I37" s="188"/>
      <c r="J37" s="188"/>
      <c r="K37" s="190" t="s">
        <v>154</v>
      </c>
      <c r="L37" s="1" t="s">
        <v>123</v>
      </c>
      <c r="M37" s="190"/>
      <c r="N37" s="18" t="s">
        <v>177</v>
      </c>
      <c r="O37" s="72" t="s">
        <v>125</v>
      </c>
      <c r="P37" s="18"/>
      <c r="Q37" s="1" t="s">
        <v>178</v>
      </c>
      <c r="R37" s="1"/>
      <c r="S37" s="1"/>
      <c r="T37" s="218" t="s">
        <v>179</v>
      </c>
      <c r="V37" s="67" t="s">
        <v>180</v>
      </c>
      <c r="W37" s="226"/>
      <c r="X37" s="1"/>
      <c r="Y37" s="1"/>
      <c r="Z37" s="299"/>
    </row>
    <row r="38" spans="1:26" ht="24.95" customHeight="1">
      <c r="A38" s="292">
        <v>9</v>
      </c>
      <c r="B38" s="198" t="s">
        <v>181</v>
      </c>
      <c r="C38" s="284" t="s">
        <v>807</v>
      </c>
      <c r="D38" s="80" t="s">
        <v>176</v>
      </c>
      <c r="E38" s="200" t="s">
        <v>716</v>
      </c>
      <c r="F38" s="1"/>
      <c r="G38" s="199" t="s">
        <v>717</v>
      </c>
      <c r="H38" s="199" t="s">
        <v>713</v>
      </c>
      <c r="I38" s="188"/>
      <c r="J38" s="188"/>
      <c r="K38" s="190" t="s">
        <v>183</v>
      </c>
      <c r="L38" s="1" t="s">
        <v>123</v>
      </c>
      <c r="M38" s="190"/>
      <c r="N38" s="219" t="s">
        <v>184</v>
      </c>
      <c r="O38" s="72" t="s">
        <v>125</v>
      </c>
      <c r="P38" s="219"/>
      <c r="Q38" s="81" t="s">
        <v>185</v>
      </c>
      <c r="R38" s="81"/>
      <c r="S38" s="81"/>
      <c r="T38" s="220" t="s">
        <v>186</v>
      </c>
      <c r="V38" s="116" t="s">
        <v>187</v>
      </c>
      <c r="W38" s="226"/>
      <c r="X38" s="1"/>
      <c r="Y38" s="1"/>
      <c r="Z38" s="299"/>
    </row>
    <row r="39" spans="1:26" ht="24.95" customHeight="1">
      <c r="A39" s="292"/>
      <c r="B39" s="198" t="s">
        <v>188</v>
      </c>
      <c r="C39" s="284" t="s">
        <v>735</v>
      </c>
      <c r="D39" s="80" t="s">
        <v>161</v>
      </c>
      <c r="E39" s="200" t="s">
        <v>716</v>
      </c>
      <c r="F39" s="1"/>
      <c r="G39" s="199" t="s">
        <v>717</v>
      </c>
      <c r="H39" s="199" t="s">
        <v>713</v>
      </c>
      <c r="I39" s="188"/>
      <c r="J39" s="188"/>
      <c r="K39" s="190" t="s">
        <v>154</v>
      </c>
      <c r="L39" s="1" t="s">
        <v>123</v>
      </c>
      <c r="M39" s="190"/>
      <c r="N39" s="221" t="s">
        <v>189</v>
      </c>
      <c r="O39" s="72" t="s">
        <v>125</v>
      </c>
      <c r="P39" s="219"/>
      <c r="Q39" s="81" t="s">
        <v>190</v>
      </c>
      <c r="R39" s="81"/>
      <c r="S39" s="81"/>
      <c r="T39" s="220" t="s">
        <v>191</v>
      </c>
      <c r="V39" s="116" t="s">
        <v>187</v>
      </c>
      <c r="W39" s="226"/>
      <c r="X39" s="1"/>
      <c r="Y39" s="1"/>
      <c r="Z39" s="299"/>
    </row>
    <row r="40" spans="1:26" ht="24.95" customHeight="1">
      <c r="A40" s="292"/>
      <c r="B40" s="198" t="s">
        <v>193</v>
      </c>
      <c r="C40" s="284" t="s">
        <v>782</v>
      </c>
      <c r="D40" s="80" t="s">
        <v>176</v>
      </c>
      <c r="E40" s="200" t="s">
        <v>716</v>
      </c>
      <c r="F40" s="1"/>
      <c r="G40" s="199" t="s">
        <v>717</v>
      </c>
      <c r="H40" s="199" t="s">
        <v>713</v>
      </c>
      <c r="I40" s="188"/>
      <c r="J40" s="188"/>
      <c r="K40" s="190" t="s">
        <v>154</v>
      </c>
      <c r="L40" s="1" t="s">
        <v>123</v>
      </c>
      <c r="M40" s="190"/>
      <c r="N40" s="219" t="s">
        <v>194</v>
      </c>
      <c r="O40" s="72" t="s">
        <v>125</v>
      </c>
      <c r="P40" s="219"/>
      <c r="Q40" s="81" t="s">
        <v>185</v>
      </c>
      <c r="R40" s="81"/>
      <c r="S40" s="81"/>
      <c r="T40" s="220" t="s">
        <v>195</v>
      </c>
      <c r="V40" s="116" t="s">
        <v>187</v>
      </c>
      <c r="W40" s="226"/>
      <c r="X40" s="1"/>
      <c r="Y40" s="1"/>
      <c r="Z40" s="299"/>
    </row>
    <row r="41" spans="1:26" ht="24.95" customHeight="1">
      <c r="A41" s="292">
        <v>10</v>
      </c>
      <c r="B41" s="198" t="s">
        <v>196</v>
      </c>
      <c r="C41" s="284" t="s">
        <v>806</v>
      </c>
      <c r="D41" s="80" t="s">
        <v>176</v>
      </c>
      <c r="E41" s="200" t="s">
        <v>716</v>
      </c>
      <c r="F41" s="1"/>
      <c r="G41" s="199" t="s">
        <v>717</v>
      </c>
      <c r="H41" s="199" t="s">
        <v>713</v>
      </c>
      <c r="I41" s="188"/>
      <c r="J41" s="188"/>
      <c r="K41" s="190" t="s">
        <v>122</v>
      </c>
      <c r="L41" s="1" t="s">
        <v>123</v>
      </c>
      <c r="M41" s="190"/>
      <c r="N41" s="219" t="s">
        <v>198</v>
      </c>
      <c r="O41" s="72" t="s">
        <v>125</v>
      </c>
      <c r="P41" s="219"/>
      <c r="Q41" s="81" t="s">
        <v>199</v>
      </c>
      <c r="R41" s="81"/>
      <c r="S41" s="81"/>
      <c r="T41" s="222"/>
      <c r="V41" s="116" t="s">
        <v>200</v>
      </c>
      <c r="W41" s="226"/>
      <c r="X41" s="1"/>
      <c r="Y41" s="1"/>
      <c r="Z41" s="299"/>
    </row>
    <row r="42" spans="1:26" ht="24.95" customHeight="1">
      <c r="A42" s="292">
        <v>11</v>
      </c>
      <c r="B42" s="198" t="s">
        <v>201</v>
      </c>
      <c r="C42" s="284" t="s">
        <v>804</v>
      </c>
      <c r="D42" s="80" t="s">
        <v>176</v>
      </c>
      <c r="E42" s="200" t="s">
        <v>716</v>
      </c>
      <c r="F42" s="1"/>
      <c r="G42" s="199" t="s">
        <v>717</v>
      </c>
      <c r="H42" s="199" t="s">
        <v>713</v>
      </c>
      <c r="I42" s="188"/>
      <c r="J42" s="188"/>
      <c r="K42" s="190" t="s">
        <v>202</v>
      </c>
      <c r="L42" s="1" t="s">
        <v>123</v>
      </c>
      <c r="M42" s="190"/>
      <c r="N42" s="221" t="s">
        <v>203</v>
      </c>
      <c r="O42" s="72" t="s">
        <v>125</v>
      </c>
      <c r="P42" s="219"/>
      <c r="Q42" s="81" t="s">
        <v>204</v>
      </c>
      <c r="R42" s="81"/>
      <c r="S42" s="81"/>
      <c r="T42" s="222"/>
      <c r="V42" s="116" t="s">
        <v>205</v>
      </c>
      <c r="W42" s="226"/>
      <c r="X42" s="1"/>
      <c r="Y42" s="1"/>
      <c r="Z42" s="299"/>
    </row>
    <row r="43" spans="1:26" ht="24.95" customHeight="1">
      <c r="A43" s="292">
        <v>12</v>
      </c>
      <c r="B43" s="198" t="s">
        <v>206</v>
      </c>
      <c r="C43" s="284" t="s">
        <v>792</v>
      </c>
      <c r="D43" s="80" t="s">
        <v>176</v>
      </c>
      <c r="E43" s="200" t="s">
        <v>716</v>
      </c>
      <c r="F43" s="1"/>
      <c r="G43" s="199" t="s">
        <v>717</v>
      </c>
      <c r="H43" s="199" t="s">
        <v>713</v>
      </c>
      <c r="I43" s="188"/>
      <c r="J43" s="188"/>
      <c r="K43" s="190" t="s">
        <v>154</v>
      </c>
      <c r="L43" s="1" t="s">
        <v>123</v>
      </c>
      <c r="M43" s="190"/>
      <c r="N43" s="221" t="s">
        <v>208</v>
      </c>
      <c r="O43" s="72" t="s">
        <v>125</v>
      </c>
      <c r="P43" s="219"/>
      <c r="Q43" s="81" t="s">
        <v>209</v>
      </c>
      <c r="R43" s="81"/>
      <c r="S43" s="81"/>
      <c r="T43" s="222"/>
      <c r="V43" s="116" t="s">
        <v>210</v>
      </c>
      <c r="W43" s="226"/>
      <c r="X43" s="1"/>
      <c r="Y43" s="1"/>
      <c r="Z43" s="299"/>
    </row>
    <row r="44" spans="1:26" ht="24.95" customHeight="1">
      <c r="A44" s="293">
        <v>13</v>
      </c>
      <c r="B44" s="198" t="s">
        <v>211</v>
      </c>
      <c r="C44" s="284" t="s">
        <v>800</v>
      </c>
      <c r="D44" s="109" t="s">
        <v>120</v>
      </c>
      <c r="E44" s="200" t="s">
        <v>716</v>
      </c>
      <c r="F44" s="1"/>
      <c r="G44" s="199" t="s">
        <v>717</v>
      </c>
      <c r="H44" s="199" t="s">
        <v>713</v>
      </c>
      <c r="I44" s="188"/>
      <c r="J44" s="188"/>
      <c r="K44" s="1" t="s">
        <v>154</v>
      </c>
      <c r="L44" s="68" t="s">
        <v>212</v>
      </c>
      <c r="M44" s="1"/>
      <c r="N44" s="311" t="s">
        <v>213</v>
      </c>
      <c r="O44" s="68" t="s">
        <v>125</v>
      </c>
      <c r="P44" s="110" t="s">
        <v>214</v>
      </c>
      <c r="Q44" s="67"/>
      <c r="R44" s="67"/>
      <c r="S44" s="81"/>
      <c r="T44" s="73" t="s">
        <v>215</v>
      </c>
      <c r="V44" s="67" t="s">
        <v>216</v>
      </c>
      <c r="W44" s="226"/>
      <c r="X44" s="1"/>
      <c r="Y44" s="1"/>
      <c r="Z44" s="299"/>
    </row>
    <row r="45" spans="1:26" ht="24.95" customHeight="1">
      <c r="A45" s="292">
        <v>14</v>
      </c>
      <c r="B45" s="198" t="s">
        <v>217</v>
      </c>
      <c r="C45" s="284" t="s">
        <v>786</v>
      </c>
      <c r="D45" s="1" t="s">
        <v>120</v>
      </c>
      <c r="E45" s="200" t="s">
        <v>716</v>
      </c>
      <c r="F45" s="1"/>
      <c r="G45" s="199" t="s">
        <v>717</v>
      </c>
      <c r="H45" s="199" t="s">
        <v>713</v>
      </c>
      <c r="I45" s="188"/>
      <c r="J45" s="188"/>
      <c r="K45" s="1" t="s">
        <v>218</v>
      </c>
      <c r="L45" s="1" t="s">
        <v>219</v>
      </c>
      <c r="M45" s="1"/>
      <c r="N45" s="18" t="s">
        <v>220</v>
      </c>
      <c r="O45" s="1" t="s">
        <v>125</v>
      </c>
      <c r="P45" s="17" t="s">
        <v>221</v>
      </c>
      <c r="Q45" s="6" t="s">
        <v>222</v>
      </c>
      <c r="S45" s="6"/>
      <c r="T45" s="78" t="s">
        <v>223</v>
      </c>
      <c r="V45" s="67" t="s">
        <v>224</v>
      </c>
      <c r="W45" s="226"/>
      <c r="X45" s="1"/>
      <c r="Y45" s="1"/>
      <c r="Z45" s="299"/>
    </row>
    <row r="46" spans="1:26" ht="24.95" customHeight="1">
      <c r="A46" s="292">
        <v>15</v>
      </c>
      <c r="B46" s="198" t="s">
        <v>225</v>
      </c>
      <c r="C46" s="284" t="s">
        <v>858</v>
      </c>
      <c r="D46" s="68" t="s">
        <v>161</v>
      </c>
      <c r="E46" s="200" t="s">
        <v>716</v>
      </c>
      <c r="F46" s="1"/>
      <c r="G46" s="199" t="s">
        <v>717</v>
      </c>
      <c r="H46" s="199" t="s">
        <v>713</v>
      </c>
      <c r="I46" s="188"/>
      <c r="J46" s="188"/>
      <c r="K46" s="68" t="s">
        <v>226</v>
      </c>
      <c r="L46" s="68" t="s">
        <v>219</v>
      </c>
      <c r="M46" s="68"/>
      <c r="N46" s="72" t="s">
        <v>227</v>
      </c>
      <c r="O46" s="68" t="s">
        <v>134</v>
      </c>
      <c r="P46" s="73" t="s">
        <v>228</v>
      </c>
      <c r="Q46" s="67"/>
      <c r="S46" s="67"/>
      <c r="T46" s="124" t="s">
        <v>229</v>
      </c>
      <c r="V46" s="73" t="s">
        <v>230</v>
      </c>
      <c r="W46" s="226"/>
      <c r="X46" s="1"/>
      <c r="Y46" s="1"/>
      <c r="Z46" s="299"/>
    </row>
    <row r="47" spans="1:26" ht="24.95" customHeight="1">
      <c r="A47" s="292">
        <v>16</v>
      </c>
      <c r="B47" s="198" t="s">
        <v>231</v>
      </c>
      <c r="C47" s="284" t="s">
        <v>857</v>
      </c>
      <c r="D47" s="68" t="s">
        <v>120</v>
      </c>
      <c r="E47" s="200" t="s">
        <v>716</v>
      </c>
      <c r="F47" s="1"/>
      <c r="G47" s="199" t="s">
        <v>717</v>
      </c>
      <c r="H47" s="199" t="s">
        <v>713</v>
      </c>
      <c r="I47" s="188"/>
      <c r="J47" s="188"/>
      <c r="K47" s="68" t="s">
        <v>122</v>
      </c>
      <c r="L47" s="68" t="s">
        <v>219</v>
      </c>
      <c r="M47" s="68"/>
      <c r="N47" s="72" t="s">
        <v>232</v>
      </c>
      <c r="O47" s="68" t="s">
        <v>134</v>
      </c>
      <c r="P47" s="73" t="s">
        <v>233</v>
      </c>
      <c r="Q47" s="67"/>
      <c r="S47" s="67"/>
      <c r="T47" s="124" t="s">
        <v>234</v>
      </c>
      <c r="V47" s="73" t="s">
        <v>235</v>
      </c>
      <c r="W47" s="226"/>
      <c r="X47" s="1"/>
      <c r="Y47" s="1"/>
      <c r="Z47" s="299"/>
    </row>
    <row r="48" spans="1:26" ht="24.95" customHeight="1">
      <c r="A48" s="292">
        <v>17</v>
      </c>
      <c r="B48" s="198" t="s">
        <v>236</v>
      </c>
      <c r="C48" s="284" t="s">
        <v>772</v>
      </c>
      <c r="D48" s="68" t="s">
        <v>120</v>
      </c>
      <c r="E48" s="200" t="s">
        <v>716</v>
      </c>
      <c r="F48" s="1"/>
      <c r="G48" s="199" t="s">
        <v>717</v>
      </c>
      <c r="H48" s="199" t="s">
        <v>713</v>
      </c>
      <c r="I48" s="188"/>
      <c r="J48" s="188"/>
      <c r="K48" s="68" t="s">
        <v>238</v>
      </c>
      <c r="L48" s="68" t="s">
        <v>219</v>
      </c>
      <c r="M48" s="68"/>
      <c r="N48" s="72" t="s">
        <v>239</v>
      </c>
      <c r="O48" s="68" t="s">
        <v>125</v>
      </c>
      <c r="P48" s="73" t="s">
        <v>240</v>
      </c>
      <c r="Q48" s="67" t="s">
        <v>241</v>
      </c>
      <c r="S48" s="67" t="s">
        <v>242</v>
      </c>
      <c r="T48" s="124"/>
      <c r="V48" s="73" t="s">
        <v>243</v>
      </c>
      <c r="W48" s="226"/>
      <c r="X48" s="1"/>
      <c r="Y48" s="1"/>
      <c r="Z48" s="299"/>
    </row>
    <row r="49" spans="1:26" ht="24.95" customHeight="1">
      <c r="A49" s="292">
        <v>18</v>
      </c>
      <c r="B49" s="198" t="s">
        <v>244</v>
      </c>
      <c r="C49" s="284" t="s">
        <v>768</v>
      </c>
      <c r="D49" s="1" t="s">
        <v>120</v>
      </c>
      <c r="E49" s="200" t="s">
        <v>716</v>
      </c>
      <c r="F49" s="1"/>
      <c r="G49" s="199" t="s">
        <v>717</v>
      </c>
      <c r="H49" s="199" t="s">
        <v>713</v>
      </c>
      <c r="I49" s="188"/>
      <c r="J49" s="188"/>
      <c r="K49" s="1" t="s">
        <v>245</v>
      </c>
      <c r="L49" s="1" t="s">
        <v>219</v>
      </c>
      <c r="M49" s="1"/>
      <c r="N49" s="18" t="s">
        <v>246</v>
      </c>
      <c r="O49" s="1" t="s">
        <v>134</v>
      </c>
      <c r="P49" s="17"/>
      <c r="Q49" s="6" t="s">
        <v>247</v>
      </c>
      <c r="S49" s="6" t="s">
        <v>248</v>
      </c>
      <c r="T49" s="78"/>
      <c r="V49" s="17" t="s">
        <v>249</v>
      </c>
      <c r="W49" s="226"/>
      <c r="X49" s="1"/>
      <c r="Y49" s="1"/>
      <c r="Z49" s="299"/>
    </row>
    <row r="50" spans="1:26" ht="24.95" customHeight="1">
      <c r="A50" s="292">
        <v>19</v>
      </c>
      <c r="B50" s="198" t="s">
        <v>250</v>
      </c>
      <c r="C50" s="284" t="s">
        <v>856</v>
      </c>
      <c r="D50" s="1" t="s">
        <v>120</v>
      </c>
      <c r="E50" s="200" t="s">
        <v>716</v>
      </c>
      <c r="F50" s="1"/>
      <c r="G50" s="199" t="s">
        <v>717</v>
      </c>
      <c r="H50" s="199" t="s">
        <v>713</v>
      </c>
      <c r="I50" s="188"/>
      <c r="J50" s="188"/>
      <c r="K50" s="1" t="s">
        <v>226</v>
      </c>
      <c r="L50" s="1" t="s">
        <v>219</v>
      </c>
      <c r="M50" s="1"/>
      <c r="N50" s="18" t="s">
        <v>251</v>
      </c>
      <c r="O50" s="1" t="s">
        <v>125</v>
      </c>
      <c r="P50" s="17" t="s">
        <v>252</v>
      </c>
      <c r="Q50" s="6" t="s">
        <v>253</v>
      </c>
      <c r="S50" s="6"/>
      <c r="T50" s="74" t="s">
        <v>254</v>
      </c>
      <c r="V50" s="17" t="s">
        <v>255</v>
      </c>
      <c r="W50" s="226"/>
      <c r="X50" s="1"/>
      <c r="Y50" s="1"/>
      <c r="Z50" s="299"/>
    </row>
    <row r="51" spans="1:26" ht="24.95" customHeight="1">
      <c r="A51" s="292">
        <v>20</v>
      </c>
      <c r="B51" s="198" t="s">
        <v>256</v>
      </c>
      <c r="C51" s="284" t="s">
        <v>754</v>
      </c>
      <c r="D51" s="1" t="s">
        <v>120</v>
      </c>
      <c r="E51" s="200" t="s">
        <v>716</v>
      </c>
      <c r="F51" s="1"/>
      <c r="G51" s="199" t="s">
        <v>717</v>
      </c>
      <c r="H51" s="199" t="s">
        <v>713</v>
      </c>
      <c r="I51" s="188"/>
      <c r="J51" s="188"/>
      <c r="K51" s="1" t="s">
        <v>163</v>
      </c>
      <c r="L51" s="1" t="s">
        <v>219</v>
      </c>
      <c r="M51" s="1"/>
      <c r="N51" s="18" t="s">
        <v>257</v>
      </c>
      <c r="O51" s="1" t="s">
        <v>134</v>
      </c>
      <c r="P51" s="17" t="s">
        <v>258</v>
      </c>
      <c r="Q51" s="6" t="s">
        <v>259</v>
      </c>
      <c r="S51" s="6"/>
      <c r="T51" s="78" t="s">
        <v>260</v>
      </c>
      <c r="V51" s="17" t="s">
        <v>261</v>
      </c>
      <c r="W51" s="226"/>
      <c r="X51" s="1"/>
      <c r="Y51" s="1"/>
      <c r="Z51" s="299"/>
    </row>
    <row r="52" spans="1:26" ht="24.95" customHeight="1">
      <c r="A52" s="292">
        <v>21</v>
      </c>
      <c r="B52" s="198" t="s">
        <v>262</v>
      </c>
      <c r="C52" s="284" t="s">
        <v>734</v>
      </c>
      <c r="D52" s="1" t="s">
        <v>161</v>
      </c>
      <c r="E52" s="200" t="s">
        <v>716</v>
      </c>
      <c r="F52" s="1"/>
      <c r="G52" s="199" t="s">
        <v>717</v>
      </c>
      <c r="H52" s="199" t="s">
        <v>713</v>
      </c>
      <c r="I52" s="188"/>
      <c r="J52" s="188"/>
      <c r="K52" s="1" t="s">
        <v>183</v>
      </c>
      <c r="L52" s="1" t="s">
        <v>219</v>
      </c>
      <c r="M52" s="1"/>
      <c r="N52" s="18" t="s">
        <v>264</v>
      </c>
      <c r="O52" s="1" t="s">
        <v>125</v>
      </c>
      <c r="P52" s="17"/>
      <c r="Q52" s="6" t="s">
        <v>265</v>
      </c>
      <c r="S52" s="6"/>
      <c r="T52" s="78" t="s">
        <v>266</v>
      </c>
      <c r="V52" s="17" t="s">
        <v>267</v>
      </c>
      <c r="W52" s="226"/>
      <c r="X52" s="1"/>
      <c r="Y52" s="1"/>
      <c r="Z52" s="299"/>
    </row>
    <row r="53" spans="1:26" ht="24.95" customHeight="1">
      <c r="A53" s="292">
        <v>22</v>
      </c>
      <c r="B53" s="198" t="s">
        <v>268</v>
      </c>
      <c r="C53" s="284" t="s">
        <v>855</v>
      </c>
      <c r="D53" s="81" t="s">
        <v>176</v>
      </c>
      <c r="E53" s="200" t="s">
        <v>716</v>
      </c>
      <c r="F53" s="1"/>
      <c r="G53" s="199" t="s">
        <v>717</v>
      </c>
      <c r="H53" s="199" t="s">
        <v>713</v>
      </c>
      <c r="I53" s="188"/>
      <c r="J53" s="188"/>
      <c r="K53" s="68" t="s">
        <v>122</v>
      </c>
      <c r="L53" s="1" t="s">
        <v>219</v>
      </c>
      <c r="M53" s="68"/>
      <c r="N53" s="219" t="s">
        <v>270</v>
      </c>
      <c r="O53" s="1" t="s">
        <v>134</v>
      </c>
      <c r="P53" s="82" t="s">
        <v>271</v>
      </c>
      <c r="Q53" s="83" t="s">
        <v>272</v>
      </c>
      <c r="S53" s="83"/>
      <c r="T53" s="84" t="s">
        <v>273</v>
      </c>
      <c r="V53" s="82" t="s">
        <v>274</v>
      </c>
      <c r="W53" s="226"/>
      <c r="X53" s="1"/>
      <c r="Y53" s="1"/>
      <c r="Z53" s="299"/>
    </row>
    <row r="54" spans="1:26" ht="24.95" customHeight="1">
      <c r="A54" s="294"/>
      <c r="B54" s="198" t="s">
        <v>275</v>
      </c>
      <c r="C54" s="284" t="s">
        <v>467</v>
      </c>
      <c r="D54" s="81" t="s">
        <v>176</v>
      </c>
      <c r="E54" s="200" t="s">
        <v>716</v>
      </c>
      <c r="F54" s="1"/>
      <c r="G54" s="199" t="s">
        <v>717</v>
      </c>
      <c r="H54" s="199" t="s">
        <v>713</v>
      </c>
      <c r="I54" s="188"/>
      <c r="J54" s="188"/>
      <c r="K54" s="1" t="s">
        <v>183</v>
      </c>
      <c r="L54" s="1" t="s">
        <v>219</v>
      </c>
      <c r="M54" s="1"/>
      <c r="N54" s="219"/>
      <c r="O54" s="81"/>
      <c r="P54" s="82"/>
      <c r="Q54" s="83"/>
      <c r="S54" s="83"/>
      <c r="T54" s="84"/>
      <c r="V54" s="82"/>
      <c r="W54" s="226"/>
      <c r="X54" s="1"/>
      <c r="Y54" s="1"/>
      <c r="Z54" s="299"/>
    </row>
    <row r="55" spans="1:26" ht="24.95" customHeight="1">
      <c r="A55" s="294">
        <v>23</v>
      </c>
      <c r="B55" s="198" t="s">
        <v>276</v>
      </c>
      <c r="C55" s="284" t="s">
        <v>467</v>
      </c>
      <c r="D55" s="81" t="s">
        <v>176</v>
      </c>
      <c r="E55" s="200" t="s">
        <v>716</v>
      </c>
      <c r="F55" s="1"/>
      <c r="G55" s="199" t="s">
        <v>717</v>
      </c>
      <c r="H55" s="199" t="s">
        <v>713</v>
      </c>
      <c r="I55" s="188"/>
      <c r="J55" s="188"/>
      <c r="K55" s="114" t="s">
        <v>277</v>
      </c>
      <c r="L55" s="1" t="s">
        <v>219</v>
      </c>
      <c r="M55" s="114"/>
      <c r="N55" s="219"/>
      <c r="O55" s="81"/>
      <c r="P55" s="82"/>
      <c r="Q55" s="83"/>
      <c r="S55" s="83"/>
      <c r="T55" s="84"/>
      <c r="V55" s="82"/>
      <c r="W55" s="226"/>
      <c r="X55" s="1"/>
      <c r="Y55" s="1"/>
      <c r="Z55" s="299"/>
    </row>
    <row r="56" spans="1:26" ht="24.95" customHeight="1">
      <c r="A56" s="292">
        <v>24</v>
      </c>
      <c r="B56" s="198" t="s">
        <v>278</v>
      </c>
      <c r="C56" s="284" t="s">
        <v>854</v>
      </c>
      <c r="D56" s="1" t="s">
        <v>120</v>
      </c>
      <c r="E56" s="200" t="s">
        <v>716</v>
      </c>
      <c r="F56" s="1"/>
      <c r="G56" s="199" t="s">
        <v>717</v>
      </c>
      <c r="H56" s="199" t="s">
        <v>713</v>
      </c>
      <c r="I56" s="188"/>
      <c r="J56" s="188"/>
      <c r="K56" s="1" t="s">
        <v>132</v>
      </c>
      <c r="L56" s="1" t="s">
        <v>279</v>
      </c>
      <c r="M56" s="1"/>
      <c r="N56" s="18" t="s">
        <v>280</v>
      </c>
      <c r="O56" s="1" t="s">
        <v>134</v>
      </c>
      <c r="P56" s="17" t="s">
        <v>281</v>
      </c>
      <c r="Q56" s="6" t="s">
        <v>282</v>
      </c>
      <c r="S56" s="6" t="s">
        <v>283</v>
      </c>
      <c r="T56" s="78"/>
      <c r="V56" s="17" t="s">
        <v>284</v>
      </c>
      <c r="W56" s="226"/>
      <c r="X56" s="1"/>
      <c r="Y56" s="1"/>
      <c r="Z56" s="299"/>
    </row>
    <row r="57" spans="1:26" ht="24.95" customHeight="1">
      <c r="A57" s="292">
        <v>25</v>
      </c>
      <c r="B57" s="198" t="s">
        <v>285</v>
      </c>
      <c r="C57" s="284" t="s">
        <v>853</v>
      </c>
      <c r="D57" s="72" t="s">
        <v>120</v>
      </c>
      <c r="E57" s="200" t="s">
        <v>716</v>
      </c>
      <c r="F57" s="1"/>
      <c r="G57" s="199" t="s">
        <v>717</v>
      </c>
      <c r="H57" s="199" t="s">
        <v>713</v>
      </c>
      <c r="I57" s="188"/>
      <c r="J57" s="188"/>
      <c r="K57" s="1" t="s">
        <v>122</v>
      </c>
      <c r="L57" s="1" t="s">
        <v>279</v>
      </c>
      <c r="M57" s="1"/>
      <c r="N57" s="1" t="s">
        <v>286</v>
      </c>
      <c r="O57" s="72" t="s">
        <v>125</v>
      </c>
      <c r="P57" s="6" t="s">
        <v>287</v>
      </c>
      <c r="Q57" s="6"/>
      <c r="S57" s="1"/>
      <c r="T57" s="16" t="s">
        <v>288</v>
      </c>
      <c r="V57" s="67" t="s">
        <v>289</v>
      </c>
      <c r="W57" s="226"/>
      <c r="X57" s="1"/>
      <c r="Y57" s="1"/>
      <c r="Z57" s="299"/>
    </row>
    <row r="58" spans="1:26" ht="24.95" customHeight="1">
      <c r="A58" s="292"/>
      <c r="B58" s="198" t="s">
        <v>290</v>
      </c>
      <c r="C58" s="284" t="s">
        <v>796</v>
      </c>
      <c r="D58" s="72" t="s">
        <v>120</v>
      </c>
      <c r="E58" s="200" t="s">
        <v>716</v>
      </c>
      <c r="F58" s="1"/>
      <c r="G58" s="199" t="s">
        <v>717</v>
      </c>
      <c r="H58" s="199" t="s">
        <v>713</v>
      </c>
      <c r="I58" s="188"/>
      <c r="J58" s="188"/>
      <c r="K58" s="1" t="s">
        <v>238</v>
      </c>
      <c r="L58" s="1" t="s">
        <v>279</v>
      </c>
      <c r="M58" s="1"/>
      <c r="N58" s="1"/>
      <c r="O58" s="72"/>
      <c r="P58" s="6"/>
      <c r="Q58" s="6"/>
      <c r="S58" s="1"/>
      <c r="T58" s="16"/>
      <c r="V58" s="67"/>
      <c r="W58" s="226"/>
      <c r="X58" s="1"/>
      <c r="Y58" s="1"/>
      <c r="Z58" s="299"/>
    </row>
    <row r="59" spans="1:26" ht="24.95" customHeight="1">
      <c r="A59" s="292">
        <v>26</v>
      </c>
      <c r="B59" s="198" t="s">
        <v>291</v>
      </c>
      <c r="C59" s="284" t="s">
        <v>791</v>
      </c>
      <c r="D59" s="72" t="s">
        <v>120</v>
      </c>
      <c r="E59" s="200" t="s">
        <v>716</v>
      </c>
      <c r="F59" s="1"/>
      <c r="G59" s="199" t="s">
        <v>717</v>
      </c>
      <c r="H59" s="199" t="s">
        <v>713</v>
      </c>
      <c r="I59" s="188"/>
      <c r="J59" s="188"/>
      <c r="K59" s="1" t="s">
        <v>202</v>
      </c>
      <c r="L59" s="1" t="s">
        <v>279</v>
      </c>
      <c r="M59" s="1"/>
      <c r="N59" s="1" t="s">
        <v>292</v>
      </c>
      <c r="O59" s="72" t="s">
        <v>134</v>
      </c>
      <c r="P59" s="6"/>
      <c r="Q59" s="232" t="s">
        <v>293</v>
      </c>
      <c r="S59" s="1" t="s">
        <v>294</v>
      </c>
      <c r="T59" s="1"/>
      <c r="V59" s="67" t="s">
        <v>295</v>
      </c>
      <c r="W59" s="226"/>
      <c r="X59" s="1"/>
      <c r="Y59" s="1"/>
      <c r="Z59" s="299"/>
    </row>
    <row r="60" spans="1:26" ht="24.95" customHeight="1">
      <c r="A60" s="292">
        <v>27</v>
      </c>
      <c r="B60" s="198" t="s">
        <v>296</v>
      </c>
      <c r="C60" s="284" t="s">
        <v>789</v>
      </c>
      <c r="D60" s="72" t="s">
        <v>120</v>
      </c>
      <c r="E60" s="200" t="s">
        <v>716</v>
      </c>
      <c r="F60" s="1"/>
      <c r="G60" s="199" t="s">
        <v>717</v>
      </c>
      <c r="H60" s="199" t="s">
        <v>713</v>
      </c>
      <c r="I60" s="188"/>
      <c r="J60" s="188"/>
      <c r="K60" s="1" t="s">
        <v>140</v>
      </c>
      <c r="L60" s="1" t="s">
        <v>279</v>
      </c>
      <c r="M60" s="1"/>
      <c r="N60" s="1" t="s">
        <v>297</v>
      </c>
      <c r="O60" s="72" t="s">
        <v>134</v>
      </c>
      <c r="P60" s="6" t="s">
        <v>298</v>
      </c>
      <c r="Q60" s="232" t="s">
        <v>299</v>
      </c>
      <c r="S60" s="1"/>
      <c r="T60" s="16"/>
      <c r="V60" s="67" t="s">
        <v>300</v>
      </c>
      <c r="W60" s="226"/>
      <c r="X60" s="1"/>
      <c r="Y60" s="1"/>
      <c r="Z60" s="299"/>
    </row>
    <row r="61" spans="1:26" ht="24.95" customHeight="1">
      <c r="A61" s="292">
        <v>28</v>
      </c>
      <c r="B61" s="198" t="s">
        <v>301</v>
      </c>
      <c r="C61" s="284" t="s">
        <v>785</v>
      </c>
      <c r="D61" s="72" t="s">
        <v>120</v>
      </c>
      <c r="E61" s="200" t="s">
        <v>716</v>
      </c>
      <c r="F61" s="1"/>
      <c r="G61" s="199" t="s">
        <v>717</v>
      </c>
      <c r="H61" s="199" t="s">
        <v>713</v>
      </c>
      <c r="I61" s="188"/>
      <c r="J61" s="188"/>
      <c r="K61" s="72" t="s">
        <v>140</v>
      </c>
      <c r="L61" s="72" t="s">
        <v>279</v>
      </c>
      <c r="M61" s="72"/>
      <c r="N61" s="1" t="s">
        <v>302</v>
      </c>
      <c r="O61" s="72" t="s">
        <v>134</v>
      </c>
      <c r="P61" s="6" t="s">
        <v>303</v>
      </c>
      <c r="Q61" s="232" t="s">
        <v>304</v>
      </c>
      <c r="S61" s="1" t="s">
        <v>304</v>
      </c>
      <c r="T61" s="16"/>
      <c r="V61" s="67" t="s">
        <v>305</v>
      </c>
      <c r="W61" s="226"/>
      <c r="X61" s="1"/>
      <c r="Y61" s="1"/>
      <c r="Z61" s="299"/>
    </row>
    <row r="62" spans="1:26" ht="24.95" customHeight="1">
      <c r="A62" s="292">
        <v>29</v>
      </c>
      <c r="B62" s="198" t="s">
        <v>306</v>
      </c>
      <c r="C62" s="284" t="s">
        <v>852</v>
      </c>
      <c r="D62" s="72" t="s">
        <v>120</v>
      </c>
      <c r="E62" s="200" t="s">
        <v>716</v>
      </c>
      <c r="F62" s="1"/>
      <c r="G62" s="199" t="s">
        <v>717</v>
      </c>
      <c r="H62" s="199" t="s">
        <v>713</v>
      </c>
      <c r="I62" s="188"/>
      <c r="J62" s="188"/>
      <c r="K62" s="72" t="s">
        <v>202</v>
      </c>
      <c r="L62" s="72" t="s">
        <v>279</v>
      </c>
      <c r="M62" s="72"/>
      <c r="N62" s="1" t="s">
        <v>307</v>
      </c>
      <c r="O62" s="72" t="s">
        <v>134</v>
      </c>
      <c r="P62" s="6" t="s">
        <v>308</v>
      </c>
      <c r="Q62" s="232"/>
      <c r="S62" s="1"/>
      <c r="T62" s="201"/>
      <c r="V62" s="67" t="s">
        <v>309</v>
      </c>
      <c r="W62" s="226"/>
      <c r="X62" s="1"/>
      <c r="Y62" s="1"/>
      <c r="Z62" s="299"/>
    </row>
    <row r="63" spans="1:26" ht="24.95" customHeight="1">
      <c r="A63" s="292">
        <v>30</v>
      </c>
      <c r="B63" s="198" t="s">
        <v>310</v>
      </c>
      <c r="C63" s="284" t="s">
        <v>851</v>
      </c>
      <c r="D63" s="72" t="s">
        <v>120</v>
      </c>
      <c r="E63" s="200" t="s">
        <v>716</v>
      </c>
      <c r="F63" s="1"/>
      <c r="G63" s="199" t="s">
        <v>717</v>
      </c>
      <c r="H63" s="199" t="s">
        <v>713</v>
      </c>
      <c r="I63" s="188"/>
      <c r="J63" s="188"/>
      <c r="K63" s="72" t="s">
        <v>311</v>
      </c>
      <c r="L63" s="72" t="s">
        <v>279</v>
      </c>
      <c r="M63" s="72"/>
      <c r="N63" s="1" t="s">
        <v>312</v>
      </c>
      <c r="O63" s="72" t="s">
        <v>134</v>
      </c>
      <c r="P63" s="6"/>
      <c r="Q63" s="232" t="s">
        <v>313</v>
      </c>
      <c r="S63" s="1"/>
      <c r="T63" s="201" t="s">
        <v>314</v>
      </c>
      <c r="V63" s="67" t="s">
        <v>315</v>
      </c>
      <c r="W63" s="226"/>
      <c r="X63" s="1"/>
      <c r="Y63" s="1"/>
      <c r="Z63" s="299"/>
    </row>
    <row r="64" spans="1:26" ht="24.95" customHeight="1">
      <c r="A64" s="292">
        <v>31</v>
      </c>
      <c r="B64" s="198" t="s">
        <v>316</v>
      </c>
      <c r="C64" s="284" t="s">
        <v>850</v>
      </c>
      <c r="D64" s="1" t="s">
        <v>120</v>
      </c>
      <c r="E64" s="200" t="s">
        <v>716</v>
      </c>
      <c r="F64" s="1"/>
      <c r="G64" s="199" t="s">
        <v>717</v>
      </c>
      <c r="H64" s="199" t="s">
        <v>713</v>
      </c>
      <c r="I64" s="188"/>
      <c r="J64" s="188"/>
      <c r="K64" s="1" t="s">
        <v>163</v>
      </c>
      <c r="L64" s="1" t="s">
        <v>279</v>
      </c>
      <c r="M64" s="1"/>
      <c r="N64" s="1" t="s">
        <v>317</v>
      </c>
      <c r="O64" s="72" t="s">
        <v>134</v>
      </c>
      <c r="P64" s="5" t="s">
        <v>318</v>
      </c>
      <c r="Q64" s="6"/>
      <c r="S64" s="1"/>
      <c r="T64" s="16"/>
      <c r="V64" s="67" t="s">
        <v>319</v>
      </c>
      <c r="W64" s="226"/>
      <c r="X64" s="1"/>
      <c r="Y64" s="1"/>
      <c r="Z64" s="299"/>
    </row>
    <row r="65" spans="1:26" ht="24.95" customHeight="1">
      <c r="A65" s="292">
        <v>32</v>
      </c>
      <c r="B65" s="198" t="s">
        <v>320</v>
      </c>
      <c r="C65" s="284" t="s">
        <v>776</v>
      </c>
      <c r="D65" s="1" t="s">
        <v>120</v>
      </c>
      <c r="E65" s="200" t="s">
        <v>716</v>
      </c>
      <c r="F65" s="1"/>
      <c r="G65" s="199" t="s">
        <v>717</v>
      </c>
      <c r="H65" s="199" t="s">
        <v>713</v>
      </c>
      <c r="I65" s="188"/>
      <c r="J65" s="188"/>
      <c r="K65" s="72" t="s">
        <v>202</v>
      </c>
      <c r="L65" s="1" t="s">
        <v>279</v>
      </c>
      <c r="M65" s="72"/>
      <c r="N65" s="81"/>
      <c r="O65" s="80"/>
      <c r="P65" s="129"/>
      <c r="Q65" s="83"/>
      <c r="S65" s="81"/>
      <c r="T65" s="88"/>
      <c r="V65" s="116"/>
      <c r="W65" s="226"/>
      <c r="X65" s="1"/>
      <c r="Y65" s="1"/>
      <c r="Z65" s="299"/>
    </row>
    <row r="66" spans="1:26" ht="24.95" customHeight="1">
      <c r="A66" s="292">
        <v>33</v>
      </c>
      <c r="B66" s="198" t="s">
        <v>321</v>
      </c>
      <c r="C66" s="284" t="s">
        <v>812</v>
      </c>
      <c r="D66" s="1" t="s">
        <v>161</v>
      </c>
      <c r="E66" s="200" t="s">
        <v>716</v>
      </c>
      <c r="F66" s="1"/>
      <c r="G66" s="199" t="s">
        <v>717</v>
      </c>
      <c r="H66" s="199" t="s">
        <v>713</v>
      </c>
      <c r="I66" s="188"/>
      <c r="J66" s="188"/>
      <c r="K66" s="72" t="s">
        <v>322</v>
      </c>
      <c r="L66" s="1" t="s">
        <v>323</v>
      </c>
      <c r="M66" s="72"/>
      <c r="N66" s="1" t="s">
        <v>324</v>
      </c>
      <c r="O66" s="72" t="s">
        <v>125</v>
      </c>
      <c r="P66" s="5" t="s">
        <v>325</v>
      </c>
      <c r="Q66" s="6"/>
      <c r="S66" s="1"/>
      <c r="T66" s="201" t="s">
        <v>326</v>
      </c>
      <c r="V66" s="67" t="s">
        <v>327</v>
      </c>
      <c r="W66" s="226"/>
      <c r="X66" s="1"/>
      <c r="Y66" s="1"/>
      <c r="Z66" s="299"/>
    </row>
    <row r="67" spans="1:26" ht="24.95" customHeight="1">
      <c r="A67" s="292">
        <v>34</v>
      </c>
      <c r="B67" s="198" t="s">
        <v>328</v>
      </c>
      <c r="C67" s="284" t="s">
        <v>467</v>
      </c>
      <c r="D67" s="1" t="s">
        <v>120</v>
      </c>
      <c r="E67" s="200" t="s">
        <v>716</v>
      </c>
      <c r="F67" s="1"/>
      <c r="G67" s="199" t="s">
        <v>717</v>
      </c>
      <c r="H67" s="199" t="s">
        <v>713</v>
      </c>
      <c r="I67" s="188"/>
      <c r="J67" s="188"/>
      <c r="K67" s="1" t="s">
        <v>329</v>
      </c>
      <c r="L67" s="1" t="s">
        <v>330</v>
      </c>
      <c r="M67" s="1"/>
      <c r="N67" s="1" t="s">
        <v>331</v>
      </c>
      <c r="O67" s="72" t="s">
        <v>134</v>
      </c>
      <c r="P67" s="5"/>
      <c r="Q67" s="6" t="s">
        <v>332</v>
      </c>
      <c r="S67" s="1" t="s">
        <v>333</v>
      </c>
      <c r="T67" s="201"/>
      <c r="V67" s="67" t="s">
        <v>334</v>
      </c>
      <c r="W67" s="226"/>
      <c r="X67" s="1"/>
      <c r="Y67" s="1"/>
      <c r="Z67" s="299"/>
    </row>
    <row r="68" spans="1:26" ht="24.95" customHeight="1">
      <c r="A68" s="292">
        <v>35</v>
      </c>
      <c r="B68" s="198" t="s">
        <v>335</v>
      </c>
      <c r="C68" s="284" t="s">
        <v>729</v>
      </c>
      <c r="D68" s="1" t="s">
        <v>120</v>
      </c>
      <c r="E68" s="200" t="s">
        <v>716</v>
      </c>
      <c r="F68" s="1"/>
      <c r="G68" s="199" t="s">
        <v>717</v>
      </c>
      <c r="H68" s="199" t="s">
        <v>713</v>
      </c>
      <c r="I68" s="188"/>
      <c r="J68" s="188"/>
      <c r="K68" s="1" t="s">
        <v>336</v>
      </c>
      <c r="L68" s="1" t="s">
        <v>330</v>
      </c>
      <c r="M68" s="1"/>
      <c r="N68" s="1" t="s">
        <v>337</v>
      </c>
      <c r="O68" s="72" t="s">
        <v>125</v>
      </c>
      <c r="P68" s="5" t="s">
        <v>338</v>
      </c>
      <c r="Q68" s="6" t="s">
        <v>339</v>
      </c>
      <c r="S68" s="1"/>
      <c r="T68" s="201"/>
      <c r="V68" s="67" t="s">
        <v>340</v>
      </c>
      <c r="W68" s="226"/>
      <c r="X68" s="1"/>
      <c r="Y68" s="1"/>
      <c r="Z68" s="299"/>
    </row>
    <row r="69" spans="1:26" ht="24.95" customHeight="1">
      <c r="A69" s="292">
        <v>36</v>
      </c>
      <c r="B69" s="198" t="s">
        <v>341</v>
      </c>
      <c r="C69" s="284" t="s">
        <v>801</v>
      </c>
      <c r="D69" s="1" t="s">
        <v>120</v>
      </c>
      <c r="E69" s="200" t="s">
        <v>716</v>
      </c>
      <c r="F69" s="1"/>
      <c r="G69" s="199" t="s">
        <v>717</v>
      </c>
      <c r="H69" s="199" t="s">
        <v>713</v>
      </c>
      <c r="I69" s="188"/>
      <c r="J69" s="188"/>
      <c r="K69" s="1" t="s">
        <v>342</v>
      </c>
      <c r="L69" s="1" t="s">
        <v>343</v>
      </c>
      <c r="M69" s="1"/>
      <c r="N69" s="1" t="s">
        <v>344</v>
      </c>
      <c r="O69" s="72" t="s">
        <v>134</v>
      </c>
      <c r="P69" s="5"/>
      <c r="Q69" s="6" t="s">
        <v>345</v>
      </c>
      <c r="S69" s="1"/>
      <c r="T69" s="201" t="s">
        <v>346</v>
      </c>
      <c r="V69" s="67" t="s">
        <v>347</v>
      </c>
      <c r="W69" s="226"/>
      <c r="X69" s="1"/>
      <c r="Y69" s="1"/>
      <c r="Z69" s="299"/>
    </row>
    <row r="70" spans="1:26" ht="24.95" customHeight="1">
      <c r="A70" s="292">
        <v>37</v>
      </c>
      <c r="B70" s="198" t="s">
        <v>348</v>
      </c>
      <c r="C70" s="284" t="s">
        <v>743</v>
      </c>
      <c r="D70" s="1" t="s">
        <v>161</v>
      </c>
      <c r="E70" s="200" t="s">
        <v>716</v>
      </c>
      <c r="F70" s="1"/>
      <c r="G70" s="199" t="s">
        <v>717</v>
      </c>
      <c r="H70" s="199" t="s">
        <v>713</v>
      </c>
      <c r="I70" s="188"/>
      <c r="J70" s="188"/>
      <c r="K70" s="1" t="s">
        <v>349</v>
      </c>
      <c r="L70" s="1" t="s">
        <v>343</v>
      </c>
      <c r="M70" s="1"/>
      <c r="N70" s="1" t="s">
        <v>350</v>
      </c>
      <c r="O70" s="72" t="s">
        <v>125</v>
      </c>
      <c r="P70" s="5" t="s">
        <v>351</v>
      </c>
      <c r="Q70" s="6" t="s">
        <v>352</v>
      </c>
      <c r="S70" s="1"/>
      <c r="T70" s="201" t="s">
        <v>353</v>
      </c>
      <c r="V70" s="67" t="s">
        <v>354</v>
      </c>
      <c r="W70" s="226"/>
      <c r="X70" s="1"/>
      <c r="Y70" s="1"/>
      <c r="Z70" s="299"/>
    </row>
    <row r="71" spans="1:26" ht="24.95" customHeight="1">
      <c r="A71" s="292">
        <v>38</v>
      </c>
      <c r="B71" s="198" t="s">
        <v>355</v>
      </c>
      <c r="C71" s="284" t="s">
        <v>766</v>
      </c>
      <c r="D71" s="1" t="s">
        <v>120</v>
      </c>
      <c r="E71" s="200" t="s">
        <v>716</v>
      </c>
      <c r="F71" s="1"/>
      <c r="G71" s="199" t="s">
        <v>717</v>
      </c>
      <c r="H71" s="199" t="s">
        <v>713</v>
      </c>
      <c r="I71" s="188"/>
      <c r="J71" s="188"/>
      <c r="K71" s="1" t="s">
        <v>356</v>
      </c>
      <c r="L71" s="1" t="s">
        <v>343</v>
      </c>
      <c r="M71" s="1"/>
      <c r="N71" s="1" t="s">
        <v>357</v>
      </c>
      <c r="O71" s="72" t="s">
        <v>125</v>
      </c>
      <c r="P71" s="5"/>
      <c r="Q71" s="6" t="s">
        <v>358</v>
      </c>
      <c r="S71" s="1"/>
      <c r="T71" s="201"/>
      <c r="V71" s="67" t="s">
        <v>359</v>
      </c>
      <c r="W71" s="226"/>
      <c r="X71" s="1"/>
      <c r="Y71" s="1"/>
      <c r="Z71" s="299"/>
    </row>
    <row r="72" spans="1:26" ht="24.95" customHeight="1">
      <c r="A72" s="292">
        <v>39</v>
      </c>
      <c r="B72" s="198" t="s">
        <v>360</v>
      </c>
      <c r="C72" s="284" t="s">
        <v>467</v>
      </c>
      <c r="D72" s="1" t="s">
        <v>120</v>
      </c>
      <c r="E72" s="200" t="s">
        <v>716</v>
      </c>
      <c r="F72" s="1"/>
      <c r="G72" s="199" t="s">
        <v>717</v>
      </c>
      <c r="H72" s="199" t="s">
        <v>713</v>
      </c>
      <c r="I72" s="188"/>
      <c r="J72" s="188"/>
      <c r="K72" s="1" t="s">
        <v>154</v>
      </c>
      <c r="L72" s="1" t="s">
        <v>343</v>
      </c>
      <c r="M72" s="1"/>
      <c r="N72" s="1" t="s">
        <v>361</v>
      </c>
      <c r="O72" s="72" t="s">
        <v>125</v>
      </c>
      <c r="P72" s="5"/>
      <c r="Q72" s="6" t="s">
        <v>362</v>
      </c>
      <c r="S72" s="1"/>
      <c r="T72" s="201" t="s">
        <v>363</v>
      </c>
      <c r="V72" s="67" t="s">
        <v>364</v>
      </c>
      <c r="W72" s="226"/>
      <c r="X72" s="1"/>
      <c r="Y72" s="1"/>
      <c r="Z72" s="299"/>
    </row>
    <row r="73" spans="1:26" ht="24.95" customHeight="1">
      <c r="A73" s="292">
        <v>40</v>
      </c>
      <c r="B73" s="198" t="s">
        <v>365</v>
      </c>
      <c r="C73" s="284" t="s">
        <v>795</v>
      </c>
      <c r="D73" s="1" t="s">
        <v>138</v>
      </c>
      <c r="E73" s="200" t="s">
        <v>716</v>
      </c>
      <c r="F73" s="1"/>
      <c r="G73" s="199" t="s">
        <v>717</v>
      </c>
      <c r="H73" s="199" t="s">
        <v>713</v>
      </c>
      <c r="I73" s="188"/>
      <c r="J73" s="188"/>
      <c r="K73" s="1" t="s">
        <v>154</v>
      </c>
      <c r="L73" s="1" t="s">
        <v>343</v>
      </c>
      <c r="M73" s="1"/>
      <c r="N73" s="1" t="s">
        <v>367</v>
      </c>
      <c r="O73" s="72" t="s">
        <v>125</v>
      </c>
      <c r="P73" s="5"/>
      <c r="Q73" s="6" t="s">
        <v>368</v>
      </c>
      <c r="S73" s="1"/>
      <c r="T73" s="201" t="s">
        <v>369</v>
      </c>
      <c r="V73" s="67" t="s">
        <v>370</v>
      </c>
      <c r="W73" s="226"/>
      <c r="X73" s="1"/>
      <c r="Y73" s="1"/>
      <c r="Z73" s="299"/>
    </row>
    <row r="74" spans="1:26" ht="24.95" customHeight="1">
      <c r="A74" s="292">
        <v>41</v>
      </c>
      <c r="B74" s="198" t="s">
        <v>371</v>
      </c>
      <c r="C74" s="284" t="s">
        <v>849</v>
      </c>
      <c r="D74" s="1" t="s">
        <v>120</v>
      </c>
      <c r="E74" s="200" t="s">
        <v>716</v>
      </c>
      <c r="F74" s="1"/>
      <c r="G74" s="199" t="s">
        <v>717</v>
      </c>
      <c r="H74" s="199" t="s">
        <v>713</v>
      </c>
      <c r="I74" s="188"/>
      <c r="J74" s="188"/>
      <c r="K74" s="1" t="s">
        <v>140</v>
      </c>
      <c r="L74" s="1" t="s">
        <v>343</v>
      </c>
      <c r="M74" s="1"/>
      <c r="N74" s="1" t="s">
        <v>372</v>
      </c>
      <c r="O74" s="72" t="s">
        <v>125</v>
      </c>
      <c r="P74" s="5" t="s">
        <v>373</v>
      </c>
      <c r="Q74" s="6"/>
      <c r="S74" s="1"/>
      <c r="T74" s="201" t="s">
        <v>374</v>
      </c>
      <c r="V74" s="67" t="s">
        <v>375</v>
      </c>
      <c r="W74" s="226"/>
      <c r="X74" s="1"/>
      <c r="Y74" s="1"/>
      <c r="Z74" s="299"/>
    </row>
    <row r="75" spans="1:26" ht="24.95" customHeight="1">
      <c r="A75" s="292">
        <v>42</v>
      </c>
      <c r="B75" s="198" t="s">
        <v>376</v>
      </c>
      <c r="C75" s="284" t="s">
        <v>744</v>
      </c>
      <c r="D75" s="1" t="s">
        <v>138</v>
      </c>
      <c r="E75" s="200" t="s">
        <v>716</v>
      </c>
      <c r="F75" s="1"/>
      <c r="G75" s="199" t="s">
        <v>717</v>
      </c>
      <c r="H75" s="199" t="s">
        <v>713</v>
      </c>
      <c r="I75" s="188"/>
      <c r="J75" s="188"/>
      <c r="K75" s="1" t="s">
        <v>329</v>
      </c>
      <c r="L75" s="1" t="s">
        <v>343</v>
      </c>
      <c r="M75" s="1"/>
      <c r="N75" s="1" t="s">
        <v>378</v>
      </c>
      <c r="O75" s="72" t="s">
        <v>134</v>
      </c>
      <c r="P75" s="5" t="s">
        <v>379</v>
      </c>
      <c r="Q75" s="6" t="s">
        <v>380</v>
      </c>
      <c r="S75" s="1"/>
      <c r="T75" s="201"/>
      <c r="V75" s="67" t="s">
        <v>381</v>
      </c>
      <c r="W75" s="226"/>
      <c r="X75" s="1"/>
      <c r="Y75" s="1"/>
      <c r="Z75" s="299"/>
    </row>
    <row r="76" spans="1:26" ht="24.95" customHeight="1">
      <c r="A76" s="292"/>
      <c r="B76" s="198" t="s">
        <v>382</v>
      </c>
      <c r="C76" s="284" t="s">
        <v>770</v>
      </c>
      <c r="D76" s="1" t="s">
        <v>138</v>
      </c>
      <c r="E76" s="200" t="s">
        <v>716</v>
      </c>
      <c r="F76" s="1"/>
      <c r="G76" s="199" t="s">
        <v>717</v>
      </c>
      <c r="H76" s="199" t="s">
        <v>713</v>
      </c>
      <c r="I76" s="188"/>
      <c r="J76" s="188"/>
      <c r="K76" s="1" t="s">
        <v>329</v>
      </c>
      <c r="L76" s="1" t="s">
        <v>343</v>
      </c>
      <c r="M76" s="1"/>
      <c r="N76" s="1" t="s">
        <v>383</v>
      </c>
      <c r="O76" s="72" t="s">
        <v>125</v>
      </c>
      <c r="P76" s="5"/>
      <c r="Q76" s="6" t="s">
        <v>384</v>
      </c>
      <c r="S76" s="1"/>
      <c r="T76" s="201"/>
      <c r="V76" s="67" t="s">
        <v>381</v>
      </c>
      <c r="W76" s="226"/>
      <c r="X76" s="1"/>
      <c r="Y76" s="1"/>
      <c r="Z76" s="299"/>
    </row>
    <row r="77" spans="1:26" ht="24.95" customHeight="1">
      <c r="A77" s="292"/>
      <c r="B77" s="298" t="s">
        <v>385</v>
      </c>
      <c r="C77" s="284" t="s">
        <v>748</v>
      </c>
      <c r="D77" s="1" t="s">
        <v>138</v>
      </c>
      <c r="E77" s="200" t="s">
        <v>716</v>
      </c>
      <c r="F77" s="1"/>
      <c r="G77" s="199" t="s">
        <v>717</v>
      </c>
      <c r="H77" s="199" t="s">
        <v>713</v>
      </c>
      <c r="I77" s="188"/>
      <c r="J77" s="188"/>
      <c r="K77" s="1" t="s">
        <v>329</v>
      </c>
      <c r="L77" s="1" t="s">
        <v>343</v>
      </c>
      <c r="M77" s="1"/>
      <c r="N77" s="1" t="s">
        <v>386</v>
      </c>
      <c r="O77" s="72" t="s">
        <v>125</v>
      </c>
      <c r="P77" s="5"/>
      <c r="Q77" s="6" t="s">
        <v>387</v>
      </c>
      <c r="S77" s="1"/>
      <c r="T77" s="201"/>
      <c r="V77" s="67" t="s">
        <v>388</v>
      </c>
      <c r="W77" s="226"/>
      <c r="X77" s="1"/>
      <c r="Y77" s="1"/>
      <c r="Z77" s="299"/>
    </row>
    <row r="78" spans="1:26" ht="24.95" customHeight="1">
      <c r="A78" s="292"/>
      <c r="B78" s="198" t="s">
        <v>389</v>
      </c>
      <c r="C78" s="284" t="s">
        <v>467</v>
      </c>
      <c r="D78" s="1" t="s">
        <v>138</v>
      </c>
      <c r="E78" s="200" t="s">
        <v>716</v>
      </c>
      <c r="F78" s="1"/>
      <c r="G78" s="199" t="s">
        <v>717</v>
      </c>
      <c r="H78" s="199" t="s">
        <v>713</v>
      </c>
      <c r="I78" s="188"/>
      <c r="J78" s="188"/>
      <c r="K78" s="1" t="s">
        <v>329</v>
      </c>
      <c r="L78" s="1" t="s">
        <v>343</v>
      </c>
      <c r="M78" s="1"/>
      <c r="N78" s="1" t="s">
        <v>390</v>
      </c>
      <c r="O78" s="72" t="s">
        <v>125</v>
      </c>
      <c r="P78" s="5"/>
      <c r="Q78" s="6" t="s">
        <v>391</v>
      </c>
      <c r="S78" s="1"/>
      <c r="T78" s="201"/>
      <c r="V78" s="67" t="s">
        <v>392</v>
      </c>
      <c r="W78" s="226"/>
      <c r="X78" s="1"/>
      <c r="Y78" s="1"/>
      <c r="Z78" s="299"/>
    </row>
    <row r="79" spans="1:26" ht="24.95" customHeight="1">
      <c r="A79" s="292"/>
      <c r="B79" s="198" t="s">
        <v>393</v>
      </c>
      <c r="C79" s="284" t="s">
        <v>848</v>
      </c>
      <c r="D79" s="1" t="s">
        <v>138</v>
      </c>
      <c r="E79" s="200" t="s">
        <v>716</v>
      </c>
      <c r="F79" s="1"/>
      <c r="G79" s="199" t="s">
        <v>717</v>
      </c>
      <c r="H79" s="199" t="s">
        <v>713</v>
      </c>
      <c r="I79" s="188"/>
      <c r="J79" s="188"/>
      <c r="K79" s="1" t="s">
        <v>329</v>
      </c>
      <c r="L79" s="1" t="s">
        <v>343</v>
      </c>
      <c r="M79" s="1"/>
      <c r="N79" s="1" t="s">
        <v>394</v>
      </c>
      <c r="O79" s="72" t="s">
        <v>125</v>
      </c>
      <c r="P79" s="5"/>
      <c r="Q79" s="6" t="s">
        <v>391</v>
      </c>
      <c r="S79" s="1"/>
      <c r="T79" s="201"/>
      <c r="V79" s="67"/>
      <c r="W79" s="226"/>
      <c r="X79" s="1"/>
      <c r="Y79" s="1"/>
      <c r="Z79" s="299"/>
    </row>
    <row r="80" spans="1:26" ht="24.95" customHeight="1">
      <c r="A80" s="292"/>
      <c r="B80" s="198" t="s">
        <v>395</v>
      </c>
      <c r="C80" s="284" t="s">
        <v>732</v>
      </c>
      <c r="D80" s="1" t="s">
        <v>138</v>
      </c>
      <c r="E80" s="200" t="s">
        <v>716</v>
      </c>
      <c r="F80" s="1"/>
      <c r="G80" s="199" t="s">
        <v>717</v>
      </c>
      <c r="H80" s="199" t="s">
        <v>713</v>
      </c>
      <c r="I80" s="188"/>
      <c r="J80" s="188"/>
      <c r="K80" s="1" t="s">
        <v>329</v>
      </c>
      <c r="L80" s="1" t="s">
        <v>343</v>
      </c>
      <c r="M80" s="1"/>
      <c r="N80" s="1" t="s">
        <v>396</v>
      </c>
      <c r="O80" s="72" t="s">
        <v>125</v>
      </c>
      <c r="P80" s="5"/>
      <c r="Q80" s="6" t="s">
        <v>397</v>
      </c>
      <c r="S80" s="1"/>
      <c r="T80" s="201"/>
      <c r="V80" s="67"/>
      <c r="W80" s="226"/>
      <c r="X80" s="1"/>
      <c r="Y80" s="1"/>
      <c r="Z80" s="299"/>
    </row>
    <row r="81" spans="1:26" ht="24.95" customHeight="1">
      <c r="A81" s="292"/>
      <c r="B81" s="198" t="s">
        <v>398</v>
      </c>
      <c r="C81" s="284" t="s">
        <v>780</v>
      </c>
      <c r="D81" s="1" t="s">
        <v>138</v>
      </c>
      <c r="E81" s="200" t="s">
        <v>716</v>
      </c>
      <c r="F81" s="1"/>
      <c r="G81" s="199" t="s">
        <v>717</v>
      </c>
      <c r="H81" s="199" t="s">
        <v>713</v>
      </c>
      <c r="I81" s="188"/>
      <c r="J81" s="188"/>
      <c r="K81" s="1" t="s">
        <v>329</v>
      </c>
      <c r="L81" s="1" t="s">
        <v>343</v>
      </c>
      <c r="M81" s="1"/>
      <c r="N81" s="1" t="s">
        <v>399</v>
      </c>
      <c r="O81" s="72" t="s">
        <v>134</v>
      </c>
      <c r="P81" s="5"/>
      <c r="Q81" s="6" t="s">
        <v>400</v>
      </c>
      <c r="S81" s="1"/>
      <c r="T81" s="201"/>
      <c r="V81" s="67"/>
      <c r="W81" s="226"/>
      <c r="X81" s="1"/>
      <c r="Y81" s="1"/>
      <c r="Z81" s="299"/>
    </row>
    <row r="82" spans="1:26" ht="24.95" customHeight="1">
      <c r="A82" s="294"/>
      <c r="B82" s="198" t="s">
        <v>401</v>
      </c>
      <c r="C82" s="284" t="s">
        <v>773</v>
      </c>
      <c r="D82" s="81" t="s">
        <v>176</v>
      </c>
      <c r="E82" s="200" t="s">
        <v>716</v>
      </c>
      <c r="F82" s="1"/>
      <c r="G82" s="199" t="s">
        <v>717</v>
      </c>
      <c r="H82" s="199" t="s">
        <v>713</v>
      </c>
      <c r="I82" s="188"/>
      <c r="J82" s="188"/>
      <c r="K82" s="1" t="s">
        <v>329</v>
      </c>
      <c r="L82" s="1" t="s">
        <v>343</v>
      </c>
      <c r="M82" s="1"/>
      <c r="N82" s="81"/>
      <c r="O82" s="80"/>
      <c r="P82" s="129"/>
      <c r="Q82" s="83"/>
      <c r="S82" s="81"/>
      <c r="T82" s="233"/>
      <c r="V82" s="116"/>
      <c r="W82" s="226"/>
      <c r="X82" s="1"/>
      <c r="Y82" s="1"/>
      <c r="Z82" s="299"/>
    </row>
    <row r="83" spans="1:26" ht="24.95" customHeight="1">
      <c r="A83" s="292">
        <v>43</v>
      </c>
      <c r="B83" s="198" t="s">
        <v>402</v>
      </c>
      <c r="C83" s="284" t="s">
        <v>847</v>
      </c>
      <c r="D83" s="1" t="s">
        <v>120</v>
      </c>
      <c r="E83" s="200" t="s">
        <v>716</v>
      </c>
      <c r="F83" s="1"/>
      <c r="G83" s="199" t="s">
        <v>717</v>
      </c>
      <c r="H83" s="199" t="s">
        <v>713</v>
      </c>
      <c r="I83" s="188"/>
      <c r="J83" s="188"/>
      <c r="K83" s="1" t="s">
        <v>403</v>
      </c>
      <c r="L83" s="1" t="s">
        <v>404</v>
      </c>
      <c r="M83" s="1"/>
      <c r="N83" s="1" t="s">
        <v>405</v>
      </c>
      <c r="O83" s="72" t="s">
        <v>134</v>
      </c>
      <c r="P83" s="5"/>
      <c r="Q83" s="6" t="s">
        <v>406</v>
      </c>
      <c r="S83" s="1" t="s">
        <v>407</v>
      </c>
      <c r="T83" s="201"/>
      <c r="V83" s="67" t="s">
        <v>408</v>
      </c>
      <c r="W83" s="226"/>
      <c r="X83" s="1"/>
      <c r="Y83" s="1"/>
      <c r="Z83" s="299"/>
    </row>
    <row r="84" spans="1:26" ht="24.95" customHeight="1">
      <c r="A84" s="295">
        <v>44</v>
      </c>
      <c r="B84" s="198" t="s">
        <v>409</v>
      </c>
      <c r="C84" s="284" t="s">
        <v>846</v>
      </c>
      <c r="D84" s="1" t="s">
        <v>161</v>
      </c>
      <c r="E84" s="200" t="s">
        <v>716</v>
      </c>
      <c r="F84" s="1"/>
      <c r="G84" s="199" t="s">
        <v>717</v>
      </c>
      <c r="H84" s="199" t="s">
        <v>713</v>
      </c>
      <c r="I84" s="188"/>
      <c r="J84" s="188"/>
      <c r="K84" s="1" t="s">
        <v>163</v>
      </c>
      <c r="L84" s="1" t="s">
        <v>410</v>
      </c>
      <c r="M84" s="1"/>
      <c r="N84" s="1" t="s">
        <v>411</v>
      </c>
      <c r="O84" s="72" t="s">
        <v>125</v>
      </c>
      <c r="P84" s="5" t="s">
        <v>412</v>
      </c>
      <c r="Q84" s="6" t="s">
        <v>413</v>
      </c>
      <c r="S84" s="1" t="s">
        <v>414</v>
      </c>
      <c r="T84" s="201"/>
      <c r="V84" s="67" t="s">
        <v>415</v>
      </c>
      <c r="W84" s="226"/>
      <c r="X84" s="1"/>
      <c r="Y84" s="1"/>
      <c r="Z84" s="299"/>
    </row>
    <row r="85" spans="1:26" ht="24.95" customHeight="1">
      <c r="A85" s="295">
        <v>45</v>
      </c>
      <c r="B85" s="198" t="s">
        <v>416</v>
      </c>
      <c r="C85" s="284" t="s">
        <v>842</v>
      </c>
      <c r="D85" s="1" t="s">
        <v>120</v>
      </c>
      <c r="E85" s="200" t="s">
        <v>716</v>
      </c>
      <c r="F85" s="1"/>
      <c r="G85" s="234" t="s">
        <v>717</v>
      </c>
      <c r="H85" s="235" t="s">
        <v>713</v>
      </c>
      <c r="I85" s="188"/>
      <c r="J85" s="188"/>
      <c r="K85" s="1" t="s">
        <v>238</v>
      </c>
      <c r="L85" s="1" t="s">
        <v>410</v>
      </c>
      <c r="M85" s="1"/>
      <c r="N85" s="1" t="s">
        <v>417</v>
      </c>
      <c r="O85" s="72" t="s">
        <v>134</v>
      </c>
      <c r="P85" s="5" t="s">
        <v>418</v>
      </c>
      <c r="Q85" s="6" t="s">
        <v>419</v>
      </c>
      <c r="S85" s="1"/>
      <c r="T85" s="201" t="s">
        <v>420</v>
      </c>
      <c r="V85" s="67" t="s">
        <v>421</v>
      </c>
      <c r="W85" s="226"/>
      <c r="X85" s="1"/>
      <c r="Y85" s="1"/>
      <c r="Z85" s="299"/>
    </row>
    <row r="86" spans="1:26" ht="24.95" customHeight="1">
      <c r="A86" s="296">
        <v>1</v>
      </c>
      <c r="B86" s="287" t="s">
        <v>427</v>
      </c>
      <c r="C86" s="284" t="s">
        <v>746</v>
      </c>
      <c r="D86" s="152" t="s">
        <v>161</v>
      </c>
      <c r="E86" s="279" t="s">
        <v>716</v>
      </c>
      <c r="F86" s="1"/>
      <c r="G86" s="1" t="s">
        <v>723</v>
      </c>
      <c r="H86" s="1" t="s">
        <v>713</v>
      </c>
      <c r="I86" s="188"/>
      <c r="J86" s="188"/>
      <c r="K86" s="155" t="s">
        <v>428</v>
      </c>
      <c r="L86" s="152" t="s">
        <v>123</v>
      </c>
      <c r="M86" s="152"/>
      <c r="N86" s="156" t="s">
        <v>429</v>
      </c>
      <c r="O86" s="166" t="s">
        <v>430</v>
      </c>
      <c r="P86" s="158"/>
      <c r="Q86" s="159" t="s">
        <v>431</v>
      </c>
      <c r="R86" s="156"/>
      <c r="S86" s="156"/>
      <c r="T86" s="280" t="s">
        <v>432</v>
      </c>
      <c r="V86" s="67"/>
      <c r="W86" s="226"/>
      <c r="X86" s="1"/>
      <c r="Y86" s="1"/>
      <c r="Z86" s="299"/>
    </row>
    <row r="87" spans="1:26" ht="24.95" customHeight="1">
      <c r="A87" s="296">
        <v>2</v>
      </c>
      <c r="B87" s="287" t="s">
        <v>433</v>
      </c>
      <c r="C87" s="284" t="s">
        <v>755</v>
      </c>
      <c r="D87" s="152" t="s">
        <v>138</v>
      </c>
      <c r="E87" s="279" t="s">
        <v>716</v>
      </c>
      <c r="F87" s="1"/>
      <c r="G87" s="1" t="s">
        <v>723</v>
      </c>
      <c r="H87" s="1" t="s">
        <v>713</v>
      </c>
      <c r="I87" s="188"/>
      <c r="J87" s="188"/>
      <c r="K87" s="155" t="s">
        <v>434</v>
      </c>
      <c r="L87" s="152" t="s">
        <v>123</v>
      </c>
      <c r="M87" s="152"/>
      <c r="N87" s="156" t="s">
        <v>435</v>
      </c>
      <c r="O87" s="166" t="s">
        <v>436</v>
      </c>
      <c r="P87" s="158"/>
      <c r="Q87" s="159" t="s">
        <v>437</v>
      </c>
      <c r="R87" s="156"/>
      <c r="S87" s="156"/>
      <c r="T87" s="280" t="s">
        <v>438</v>
      </c>
      <c r="V87" s="67"/>
      <c r="W87" s="226"/>
      <c r="X87" s="1"/>
      <c r="Y87" s="1"/>
      <c r="Z87" s="299"/>
    </row>
    <row r="88" spans="1:26" ht="24.95" customHeight="1">
      <c r="A88" s="296">
        <v>3</v>
      </c>
      <c r="B88" s="287" t="s">
        <v>439</v>
      </c>
      <c r="C88" s="284" t="s">
        <v>778</v>
      </c>
      <c r="D88" s="152" t="s">
        <v>161</v>
      </c>
      <c r="E88" s="279" t="s">
        <v>716</v>
      </c>
      <c r="F88" s="1"/>
      <c r="G88" s="1" t="s">
        <v>723</v>
      </c>
      <c r="H88" s="1" t="s">
        <v>713</v>
      </c>
      <c r="I88" s="188"/>
      <c r="J88" s="188"/>
      <c r="K88" s="155" t="s">
        <v>440</v>
      </c>
      <c r="L88" s="152" t="s">
        <v>123</v>
      </c>
      <c r="M88" s="152"/>
      <c r="N88" s="156" t="s">
        <v>441</v>
      </c>
      <c r="O88" s="166" t="s">
        <v>442</v>
      </c>
      <c r="P88" s="158"/>
      <c r="Q88" s="159" t="s">
        <v>443</v>
      </c>
      <c r="R88" s="156"/>
      <c r="S88" s="156"/>
      <c r="T88" s="280" t="s">
        <v>444</v>
      </c>
      <c r="V88" s="67"/>
      <c r="W88" s="226"/>
      <c r="X88" s="1"/>
      <c r="Y88" s="1"/>
      <c r="Z88" s="299"/>
    </row>
    <row r="89" spans="1:26" ht="42.75" customHeight="1">
      <c r="A89" s="296">
        <v>4</v>
      </c>
      <c r="B89" s="287" t="s">
        <v>445</v>
      </c>
      <c r="C89" s="284" t="s">
        <v>829</v>
      </c>
      <c r="D89" s="152" t="s">
        <v>161</v>
      </c>
      <c r="E89" s="200" t="s">
        <v>716</v>
      </c>
      <c r="F89" s="1"/>
      <c r="G89" s="1" t="s">
        <v>723</v>
      </c>
      <c r="H89" s="1" t="s">
        <v>713</v>
      </c>
      <c r="I89" s="188"/>
      <c r="J89" s="188"/>
      <c r="K89" s="155" t="s">
        <v>446</v>
      </c>
      <c r="L89" s="152" t="s">
        <v>123</v>
      </c>
      <c r="M89" s="152"/>
      <c r="N89" s="156" t="s">
        <v>447</v>
      </c>
      <c r="O89" s="166" t="s">
        <v>442</v>
      </c>
      <c r="P89" s="158"/>
      <c r="Q89" s="159" t="s">
        <v>448</v>
      </c>
      <c r="R89" s="156"/>
      <c r="S89" s="156"/>
      <c r="T89" s="160" t="s">
        <v>449</v>
      </c>
      <c r="V89" s="67"/>
      <c r="W89" s="226"/>
      <c r="X89" s="1"/>
      <c r="Y89" s="1"/>
      <c r="Z89" s="299"/>
    </row>
    <row r="90" spans="1:26" ht="24.95" customHeight="1">
      <c r="A90" s="296">
        <v>5</v>
      </c>
      <c r="B90" s="287" t="s">
        <v>450</v>
      </c>
      <c r="C90" s="284" t="s">
        <v>813</v>
      </c>
      <c r="D90" s="152" t="s">
        <v>138</v>
      </c>
      <c r="E90" s="200" t="s">
        <v>716</v>
      </c>
      <c r="F90" s="1"/>
      <c r="G90" s="1" t="s">
        <v>723</v>
      </c>
      <c r="H90" s="1" t="s">
        <v>713</v>
      </c>
      <c r="I90" s="188"/>
      <c r="J90" s="188"/>
      <c r="K90" s="155" t="s">
        <v>451</v>
      </c>
      <c r="L90" s="152" t="s">
        <v>123</v>
      </c>
      <c r="M90" s="152"/>
      <c r="N90" s="156" t="s">
        <v>452</v>
      </c>
      <c r="O90" s="166" t="s">
        <v>442</v>
      </c>
      <c r="P90" s="158"/>
      <c r="Q90" s="159" t="s">
        <v>453</v>
      </c>
      <c r="R90" s="156"/>
      <c r="S90" s="156"/>
      <c r="T90" s="160" t="s">
        <v>454</v>
      </c>
      <c r="V90" s="67"/>
      <c r="W90" s="226"/>
      <c r="X90" s="1"/>
      <c r="Y90" s="1"/>
      <c r="Z90" s="299"/>
    </row>
    <row r="91" spans="1:26" ht="24.95" customHeight="1">
      <c r="A91" s="296">
        <v>6</v>
      </c>
      <c r="B91" s="287" t="s">
        <v>455</v>
      </c>
      <c r="C91" s="284" t="s">
        <v>736</v>
      </c>
      <c r="D91" s="152" t="s">
        <v>161</v>
      </c>
      <c r="E91" s="200" t="s">
        <v>716</v>
      </c>
      <c r="F91" s="1"/>
      <c r="G91" s="1" t="s">
        <v>723</v>
      </c>
      <c r="H91" s="1" t="s">
        <v>713</v>
      </c>
      <c r="I91" s="188"/>
      <c r="J91" s="188"/>
      <c r="K91" s="155" t="s">
        <v>456</v>
      </c>
      <c r="L91" s="152" t="s">
        <v>123</v>
      </c>
      <c r="M91" s="152"/>
      <c r="N91" s="156" t="s">
        <v>457</v>
      </c>
      <c r="O91" s="166" t="s">
        <v>430</v>
      </c>
      <c r="P91" s="158"/>
      <c r="Q91" s="159" t="s">
        <v>458</v>
      </c>
      <c r="R91" s="156"/>
      <c r="S91" s="156"/>
      <c r="T91" s="160" t="s">
        <v>459</v>
      </c>
      <c r="V91" s="67"/>
      <c r="W91" s="226"/>
      <c r="X91" s="1"/>
      <c r="Y91" s="1"/>
      <c r="Z91" s="299"/>
    </row>
    <row r="92" spans="1:26" ht="24.95" customHeight="1">
      <c r="A92" s="296">
        <v>7</v>
      </c>
      <c r="B92" s="287" t="s">
        <v>460</v>
      </c>
      <c r="C92" s="284" t="s">
        <v>759</v>
      </c>
      <c r="D92" s="152" t="s">
        <v>138</v>
      </c>
      <c r="E92" s="200" t="s">
        <v>716</v>
      </c>
      <c r="F92" s="1"/>
      <c r="G92" s="1" t="s">
        <v>723</v>
      </c>
      <c r="H92" s="1" t="s">
        <v>713</v>
      </c>
      <c r="I92" s="188"/>
      <c r="J92" s="188"/>
      <c r="K92" s="155" t="s">
        <v>461</v>
      </c>
      <c r="L92" s="152" t="s">
        <v>123</v>
      </c>
      <c r="M92" s="152"/>
      <c r="N92" s="156" t="s">
        <v>286</v>
      </c>
      <c r="O92" s="166" t="s">
        <v>430</v>
      </c>
      <c r="P92" s="158"/>
      <c r="Q92" s="159" t="s">
        <v>462</v>
      </c>
      <c r="R92" s="156"/>
      <c r="S92" s="156"/>
      <c r="T92" s="160" t="s">
        <v>463</v>
      </c>
      <c r="V92" s="67"/>
      <c r="W92" s="226"/>
      <c r="X92" s="1"/>
      <c r="Y92" s="1"/>
      <c r="Z92" s="299"/>
    </row>
    <row r="93" spans="1:26" ht="24.95" customHeight="1">
      <c r="A93" s="296">
        <v>8</v>
      </c>
      <c r="B93" s="287" t="s">
        <v>464</v>
      </c>
      <c r="C93" s="284" t="s">
        <v>756</v>
      </c>
      <c r="D93" s="152" t="s">
        <v>161</v>
      </c>
      <c r="E93" s="200" t="s">
        <v>716</v>
      </c>
      <c r="F93" s="1"/>
      <c r="G93" s="1" t="s">
        <v>723</v>
      </c>
      <c r="H93" s="1" t="s">
        <v>713</v>
      </c>
      <c r="I93" s="188"/>
      <c r="J93" s="188"/>
      <c r="K93" s="155" t="s">
        <v>465</v>
      </c>
      <c r="L93" s="152" t="s">
        <v>123</v>
      </c>
      <c r="M93" s="152"/>
      <c r="N93" s="156" t="s">
        <v>417</v>
      </c>
      <c r="O93" s="166" t="s">
        <v>442</v>
      </c>
      <c r="P93" s="158"/>
      <c r="Q93" s="159" t="s">
        <v>466</v>
      </c>
      <c r="R93" s="159" t="s">
        <v>466</v>
      </c>
      <c r="S93" s="159" t="s">
        <v>466</v>
      </c>
      <c r="T93" s="163" t="s">
        <v>467</v>
      </c>
      <c r="V93" s="67"/>
      <c r="W93" s="226"/>
      <c r="X93" s="1"/>
      <c r="Y93" s="1"/>
      <c r="Z93" s="299"/>
    </row>
    <row r="94" spans="1:26" ht="24.95" customHeight="1">
      <c r="A94" s="296">
        <v>9</v>
      </c>
      <c r="B94" s="287" t="s">
        <v>468</v>
      </c>
      <c r="C94" s="284" t="s">
        <v>765</v>
      </c>
      <c r="D94" s="152" t="s">
        <v>161</v>
      </c>
      <c r="E94" s="200" t="s">
        <v>716</v>
      </c>
      <c r="F94" s="1"/>
      <c r="G94" s="1" t="s">
        <v>723</v>
      </c>
      <c r="H94" s="1" t="s">
        <v>713</v>
      </c>
      <c r="I94" s="188"/>
      <c r="J94" s="188"/>
      <c r="K94" s="155" t="s">
        <v>469</v>
      </c>
      <c r="L94" s="152" t="s">
        <v>123</v>
      </c>
      <c r="M94" s="152"/>
      <c r="N94" s="156" t="s">
        <v>470</v>
      </c>
      <c r="O94" s="166" t="s">
        <v>442</v>
      </c>
      <c r="P94" s="158"/>
      <c r="Q94" s="159" t="s">
        <v>471</v>
      </c>
      <c r="R94" s="159" t="s">
        <v>471</v>
      </c>
      <c r="S94" s="159" t="s">
        <v>471</v>
      </c>
      <c r="T94" s="163" t="s">
        <v>467</v>
      </c>
      <c r="V94" s="67"/>
      <c r="W94" s="226"/>
      <c r="X94" s="1"/>
      <c r="Y94" s="1"/>
      <c r="Z94" s="299"/>
    </row>
    <row r="95" spans="1:26" ht="24.95" customHeight="1">
      <c r="A95" s="296"/>
      <c r="B95" s="287" t="s">
        <v>472</v>
      </c>
      <c r="C95" s="284" t="s">
        <v>467</v>
      </c>
      <c r="D95" s="152" t="s">
        <v>467</v>
      </c>
      <c r="E95" s="200" t="s">
        <v>716</v>
      </c>
      <c r="F95" s="1"/>
      <c r="G95" s="1" t="s">
        <v>723</v>
      </c>
      <c r="H95" s="1" t="s">
        <v>713</v>
      </c>
      <c r="I95" s="188"/>
      <c r="J95" s="188"/>
      <c r="K95" s="155" t="s">
        <v>473</v>
      </c>
      <c r="L95" s="152" t="s">
        <v>123</v>
      </c>
      <c r="M95" s="152"/>
      <c r="N95" s="156" t="s">
        <v>474</v>
      </c>
      <c r="O95" s="166" t="s">
        <v>442</v>
      </c>
      <c r="P95" s="158"/>
      <c r="Q95" s="159" t="s">
        <v>475</v>
      </c>
      <c r="R95" s="159"/>
      <c r="S95" s="159"/>
      <c r="T95" s="163"/>
      <c r="V95" s="67"/>
      <c r="W95" s="226"/>
      <c r="X95" s="1"/>
      <c r="Y95" s="1"/>
      <c r="Z95" s="299"/>
    </row>
    <row r="96" spans="1:26" ht="24.95" customHeight="1">
      <c r="A96" s="296"/>
      <c r="B96" s="287"/>
      <c r="C96" s="284"/>
      <c r="D96" s="152"/>
      <c r="E96" s="200" t="s">
        <v>716</v>
      </c>
      <c r="F96" s="1"/>
      <c r="G96" s="1" t="s">
        <v>723</v>
      </c>
      <c r="H96" s="1" t="s">
        <v>713</v>
      </c>
      <c r="I96" s="188"/>
      <c r="J96" s="188"/>
      <c r="K96" s="155"/>
      <c r="L96" s="152"/>
      <c r="M96" s="152"/>
      <c r="N96" s="156" t="s">
        <v>476</v>
      </c>
      <c r="O96" s="166" t="s">
        <v>477</v>
      </c>
      <c r="P96" s="158"/>
      <c r="Q96" s="159"/>
      <c r="R96" s="159"/>
      <c r="S96" s="159"/>
      <c r="T96" s="163"/>
      <c r="V96" s="67"/>
      <c r="W96" s="226"/>
      <c r="X96" s="1"/>
      <c r="Y96" s="1"/>
      <c r="Z96" s="299"/>
    </row>
    <row r="97" spans="1:26" ht="24.95" customHeight="1">
      <c r="A97" s="296">
        <v>10</v>
      </c>
      <c r="B97" s="287" t="s">
        <v>478</v>
      </c>
      <c r="C97" s="284" t="s">
        <v>783</v>
      </c>
      <c r="D97" s="152" t="s">
        <v>161</v>
      </c>
      <c r="E97" s="200" t="s">
        <v>716</v>
      </c>
      <c r="F97" s="1"/>
      <c r="G97" s="1" t="s">
        <v>723</v>
      </c>
      <c r="H97" s="1" t="s">
        <v>713</v>
      </c>
      <c r="I97" s="188"/>
      <c r="J97" s="188"/>
      <c r="K97" s="155" t="s">
        <v>473</v>
      </c>
      <c r="L97" s="152" t="s">
        <v>123</v>
      </c>
      <c r="M97" s="152"/>
      <c r="N97" s="156" t="s">
        <v>479</v>
      </c>
      <c r="O97" s="166" t="s">
        <v>442</v>
      </c>
      <c r="P97" s="158"/>
      <c r="Q97" s="159" t="s">
        <v>480</v>
      </c>
      <c r="R97" s="159"/>
      <c r="S97" s="159"/>
      <c r="T97" s="163"/>
      <c r="V97" s="67"/>
      <c r="W97" s="226"/>
      <c r="X97" s="1"/>
      <c r="Y97" s="1"/>
      <c r="Z97" s="299"/>
    </row>
    <row r="98" spans="1:26" ht="24.95" customHeight="1">
      <c r="A98" s="296">
        <v>11</v>
      </c>
      <c r="B98" s="287" t="s">
        <v>481</v>
      </c>
      <c r="C98" s="284" t="s">
        <v>756</v>
      </c>
      <c r="D98" s="152" t="s">
        <v>467</v>
      </c>
      <c r="E98" s="200" t="s">
        <v>716</v>
      </c>
      <c r="F98" s="1"/>
      <c r="G98" s="1" t="s">
        <v>723</v>
      </c>
      <c r="H98" s="1" t="s">
        <v>713</v>
      </c>
      <c r="I98" s="188"/>
      <c r="J98" s="188"/>
      <c r="K98" s="155" t="s">
        <v>473</v>
      </c>
      <c r="L98" s="152" t="s">
        <v>123</v>
      </c>
      <c r="M98" s="152"/>
      <c r="N98" s="156" t="s">
        <v>482</v>
      </c>
      <c r="O98" s="166" t="s">
        <v>8</v>
      </c>
      <c r="P98" s="158"/>
      <c r="Q98" s="159" t="s">
        <v>483</v>
      </c>
      <c r="R98" s="159"/>
      <c r="S98" s="159"/>
      <c r="T98" s="163"/>
      <c r="V98" s="67"/>
      <c r="W98" s="226"/>
      <c r="X98" s="1"/>
      <c r="Y98" s="1"/>
      <c r="Z98" s="299"/>
    </row>
    <row r="99" spans="1:26" ht="24.95" customHeight="1">
      <c r="A99" s="296">
        <v>12</v>
      </c>
      <c r="B99" s="287" t="s">
        <v>484</v>
      </c>
      <c r="C99" s="284" t="s">
        <v>805</v>
      </c>
      <c r="D99" s="152" t="s">
        <v>467</v>
      </c>
      <c r="E99" s="200" t="s">
        <v>716</v>
      </c>
      <c r="F99" s="1"/>
      <c r="G99" s="1" t="s">
        <v>723</v>
      </c>
      <c r="H99" s="1" t="s">
        <v>713</v>
      </c>
      <c r="I99" s="188"/>
      <c r="J99" s="188"/>
      <c r="K99" s="155" t="s">
        <v>473</v>
      </c>
      <c r="L99" s="152" t="s">
        <v>123</v>
      </c>
      <c r="M99" s="152"/>
      <c r="N99" s="156" t="s">
        <v>482</v>
      </c>
      <c r="O99" s="166" t="s">
        <v>8</v>
      </c>
      <c r="P99" s="158"/>
      <c r="Q99" s="159" t="s">
        <v>485</v>
      </c>
      <c r="R99" s="159"/>
      <c r="S99" s="159"/>
      <c r="T99" s="163"/>
      <c r="V99" s="67"/>
      <c r="W99" s="226"/>
      <c r="X99" s="1"/>
      <c r="Y99" s="1"/>
      <c r="Z99" s="299"/>
    </row>
    <row r="100" spans="1:26" ht="24.95" customHeight="1">
      <c r="A100" s="296">
        <v>13</v>
      </c>
      <c r="B100" s="287" t="s">
        <v>486</v>
      </c>
      <c r="C100" s="284" t="s">
        <v>799</v>
      </c>
      <c r="D100" s="152" t="s">
        <v>467</v>
      </c>
      <c r="E100" s="200" t="s">
        <v>716</v>
      </c>
      <c r="F100" s="1"/>
      <c r="G100" s="1" t="s">
        <v>723</v>
      </c>
      <c r="H100" s="1" t="s">
        <v>713</v>
      </c>
      <c r="I100" s="188"/>
      <c r="J100" s="188"/>
      <c r="K100" s="155" t="s">
        <v>473</v>
      </c>
      <c r="L100" s="152" t="s">
        <v>123</v>
      </c>
      <c r="M100" s="152"/>
      <c r="N100" s="156" t="s">
        <v>487</v>
      </c>
      <c r="O100" s="166" t="s">
        <v>8</v>
      </c>
      <c r="P100" s="158"/>
      <c r="Q100" s="159" t="s">
        <v>488</v>
      </c>
      <c r="R100" s="159"/>
      <c r="S100" s="159"/>
      <c r="T100" s="163"/>
      <c r="V100" s="67"/>
      <c r="W100" s="226"/>
      <c r="X100" s="1"/>
      <c r="Y100" s="1"/>
      <c r="Z100" s="299"/>
    </row>
    <row r="101" spans="1:26" ht="24.95" customHeight="1">
      <c r="A101" s="296">
        <v>14</v>
      </c>
      <c r="B101" s="287" t="s">
        <v>489</v>
      </c>
      <c r="C101" s="284" t="s">
        <v>777</v>
      </c>
      <c r="D101" s="152" t="s">
        <v>161</v>
      </c>
      <c r="E101" s="200" t="s">
        <v>716</v>
      </c>
      <c r="F101" s="1"/>
      <c r="G101" s="1" t="s">
        <v>723</v>
      </c>
      <c r="H101" s="1" t="s">
        <v>713</v>
      </c>
      <c r="I101" s="188"/>
      <c r="J101" s="188"/>
      <c r="K101" s="155" t="s">
        <v>473</v>
      </c>
      <c r="L101" s="152" t="s">
        <v>123</v>
      </c>
      <c r="M101" s="152"/>
      <c r="N101" s="156" t="s">
        <v>490</v>
      </c>
      <c r="O101" s="166" t="s">
        <v>442</v>
      </c>
      <c r="P101" s="158"/>
      <c r="Q101" s="159" t="s">
        <v>491</v>
      </c>
      <c r="R101" s="159"/>
      <c r="S101" s="159"/>
      <c r="T101" s="163"/>
      <c r="V101" s="67"/>
      <c r="W101" s="226"/>
      <c r="X101" s="1"/>
      <c r="Y101" s="1"/>
      <c r="Z101" s="299"/>
    </row>
    <row r="102" spans="1:26" ht="24.95" customHeight="1">
      <c r="A102" s="296">
        <v>15</v>
      </c>
      <c r="B102" s="287" t="s">
        <v>492</v>
      </c>
      <c r="C102" s="284" t="s">
        <v>830</v>
      </c>
      <c r="D102" s="152" t="s">
        <v>467</v>
      </c>
      <c r="E102" s="200" t="s">
        <v>716</v>
      </c>
      <c r="F102" s="1"/>
      <c r="G102" s="1" t="s">
        <v>723</v>
      </c>
      <c r="H102" s="1" t="s">
        <v>713</v>
      </c>
      <c r="I102" s="188"/>
      <c r="J102" s="188"/>
      <c r="K102" s="155" t="s">
        <v>473</v>
      </c>
      <c r="L102" s="152" t="s">
        <v>123</v>
      </c>
      <c r="M102" s="152"/>
      <c r="N102" s="156" t="s">
        <v>493</v>
      </c>
      <c r="O102" s="166" t="s">
        <v>442</v>
      </c>
      <c r="P102" s="158"/>
      <c r="Q102" s="159" t="s">
        <v>494</v>
      </c>
      <c r="R102" s="159"/>
      <c r="S102" s="159"/>
      <c r="T102" s="163"/>
      <c r="V102" s="67"/>
      <c r="W102" s="226"/>
      <c r="X102" s="1"/>
      <c r="Y102" s="1"/>
      <c r="Z102" s="299"/>
    </row>
    <row r="103" spans="1:26" ht="24.95" customHeight="1">
      <c r="A103" s="296"/>
      <c r="B103" s="287" t="s">
        <v>495</v>
      </c>
      <c r="C103" s="284" t="s">
        <v>733</v>
      </c>
      <c r="D103" s="152" t="s">
        <v>467</v>
      </c>
      <c r="E103" s="200" t="s">
        <v>716</v>
      </c>
      <c r="F103" s="1"/>
      <c r="G103" s="1" t="s">
        <v>723</v>
      </c>
      <c r="H103" s="1" t="s">
        <v>713</v>
      </c>
      <c r="I103" s="188"/>
      <c r="J103" s="188"/>
      <c r="K103" s="155" t="s">
        <v>473</v>
      </c>
      <c r="L103" s="152" t="s">
        <v>123</v>
      </c>
      <c r="M103" s="152"/>
      <c r="N103" s="156" t="s">
        <v>496</v>
      </c>
      <c r="O103" s="166" t="s">
        <v>497</v>
      </c>
      <c r="P103" s="158"/>
      <c r="Q103" s="159" t="s">
        <v>498</v>
      </c>
      <c r="R103" s="159"/>
      <c r="S103" s="159"/>
      <c r="T103" s="163"/>
      <c r="V103" s="67"/>
      <c r="W103" s="226"/>
      <c r="X103" s="1"/>
      <c r="Y103" s="1"/>
      <c r="Z103" s="299"/>
    </row>
    <row r="104" spans="1:26" ht="24.95" customHeight="1">
      <c r="A104" s="296">
        <v>16</v>
      </c>
      <c r="B104" s="287" t="s">
        <v>499</v>
      </c>
      <c r="C104" s="284" t="s">
        <v>467</v>
      </c>
      <c r="D104" s="152" t="s">
        <v>467</v>
      </c>
      <c r="E104" s="200" t="s">
        <v>716</v>
      </c>
      <c r="F104" s="1"/>
      <c r="G104" s="1" t="s">
        <v>723</v>
      </c>
      <c r="H104" s="1" t="s">
        <v>713</v>
      </c>
      <c r="I104" s="188"/>
      <c r="J104" s="188"/>
      <c r="K104" s="155" t="s">
        <v>473</v>
      </c>
      <c r="L104" s="152" t="s">
        <v>123</v>
      </c>
      <c r="M104" s="152"/>
      <c r="N104" s="156" t="s">
        <v>500</v>
      </c>
      <c r="O104" s="166" t="s">
        <v>501</v>
      </c>
      <c r="P104" s="158"/>
      <c r="Q104" s="159" t="s">
        <v>502</v>
      </c>
      <c r="R104" s="159"/>
      <c r="S104" s="159"/>
      <c r="T104" s="163"/>
      <c r="V104" s="67"/>
      <c r="W104" s="226"/>
      <c r="X104" s="1"/>
      <c r="Y104" s="1"/>
      <c r="Z104" s="299"/>
    </row>
    <row r="105" spans="1:26" ht="24.95" customHeight="1">
      <c r="A105" s="296">
        <v>17</v>
      </c>
      <c r="B105" s="287" t="s">
        <v>503</v>
      </c>
      <c r="C105" s="284" t="s">
        <v>763</v>
      </c>
      <c r="D105" s="152" t="s">
        <v>467</v>
      </c>
      <c r="E105" s="200" t="s">
        <v>716</v>
      </c>
      <c r="F105" s="1"/>
      <c r="G105" s="1" t="s">
        <v>723</v>
      </c>
      <c r="H105" s="1" t="s">
        <v>713</v>
      </c>
      <c r="I105" s="188"/>
      <c r="J105" s="188"/>
      <c r="K105" s="155" t="s">
        <v>132</v>
      </c>
      <c r="L105" s="152" t="s">
        <v>123</v>
      </c>
      <c r="M105" s="152"/>
      <c r="N105" s="156" t="s">
        <v>504</v>
      </c>
      <c r="O105" s="166" t="s">
        <v>442</v>
      </c>
      <c r="P105" s="158"/>
      <c r="Q105" s="159" t="s">
        <v>505</v>
      </c>
      <c r="R105" s="159"/>
      <c r="S105" s="159"/>
      <c r="T105" s="163"/>
      <c r="V105" s="67"/>
      <c r="W105" s="226"/>
      <c r="X105" s="1"/>
      <c r="Y105" s="1"/>
      <c r="Z105" s="299"/>
    </row>
    <row r="106" spans="1:26" ht="24.95" customHeight="1">
      <c r="A106" s="296">
        <v>18</v>
      </c>
      <c r="B106" s="287" t="s">
        <v>506</v>
      </c>
      <c r="C106" s="284" t="s">
        <v>739</v>
      </c>
      <c r="D106" s="152" t="s">
        <v>467</v>
      </c>
      <c r="E106" s="200" t="s">
        <v>716</v>
      </c>
      <c r="F106" s="1"/>
      <c r="G106" s="1" t="s">
        <v>723</v>
      </c>
      <c r="H106" s="1" t="s">
        <v>713</v>
      </c>
      <c r="I106" s="188"/>
      <c r="J106" s="188"/>
      <c r="K106" s="155" t="s">
        <v>473</v>
      </c>
      <c r="L106" s="152" t="s">
        <v>123</v>
      </c>
      <c r="M106" s="152"/>
      <c r="N106" s="156" t="s">
        <v>507</v>
      </c>
      <c r="O106" s="166" t="s">
        <v>442</v>
      </c>
      <c r="P106" s="158"/>
      <c r="Q106" s="159"/>
      <c r="R106" s="159"/>
      <c r="S106" s="159"/>
      <c r="T106" s="163"/>
      <c r="V106" s="67"/>
      <c r="W106" s="226"/>
      <c r="X106" s="1"/>
      <c r="Y106" s="1"/>
      <c r="Z106" s="299"/>
    </row>
    <row r="107" spans="1:26" ht="24.95" customHeight="1">
      <c r="A107" s="296">
        <v>19</v>
      </c>
      <c r="B107" s="287" t="s">
        <v>508</v>
      </c>
      <c r="C107" s="284" t="s">
        <v>467</v>
      </c>
      <c r="D107" s="152" t="s">
        <v>467</v>
      </c>
      <c r="E107" s="200" t="s">
        <v>716</v>
      </c>
      <c r="F107" s="1"/>
      <c r="G107" s="1" t="s">
        <v>723</v>
      </c>
      <c r="H107" s="1" t="s">
        <v>713</v>
      </c>
      <c r="I107" s="188"/>
      <c r="J107" s="188"/>
      <c r="K107" s="155" t="s">
        <v>473</v>
      </c>
      <c r="L107" s="152" t="s">
        <v>123</v>
      </c>
      <c r="M107" s="152"/>
      <c r="N107" s="156" t="s">
        <v>509</v>
      </c>
      <c r="O107" s="166" t="s">
        <v>497</v>
      </c>
      <c r="P107" s="158"/>
      <c r="Q107" s="159"/>
      <c r="R107" s="159"/>
      <c r="S107" s="159"/>
      <c r="T107" s="163"/>
      <c r="V107" s="67"/>
      <c r="W107" s="226"/>
      <c r="X107" s="1"/>
      <c r="Y107" s="1"/>
      <c r="Z107" s="299"/>
    </row>
    <row r="108" spans="1:26" ht="24.95" customHeight="1">
      <c r="A108" s="310">
        <v>20</v>
      </c>
      <c r="B108" s="287" t="s">
        <v>510</v>
      </c>
      <c r="C108" s="284" t="s">
        <v>797</v>
      </c>
      <c r="D108" s="152"/>
      <c r="E108" s="200" t="s">
        <v>716</v>
      </c>
      <c r="F108" s="1"/>
      <c r="G108" s="1" t="s">
        <v>723</v>
      </c>
      <c r="H108" s="1" t="s">
        <v>713</v>
      </c>
      <c r="I108" s="188"/>
      <c r="J108" s="188"/>
      <c r="K108" s="155"/>
      <c r="L108" s="152" t="s">
        <v>123</v>
      </c>
      <c r="M108" s="152"/>
      <c r="N108" s="156" t="s">
        <v>511</v>
      </c>
      <c r="O108" s="166"/>
      <c r="P108" s="158"/>
      <c r="Q108" s="159"/>
      <c r="R108" s="159"/>
      <c r="S108" s="159"/>
      <c r="T108" s="163"/>
      <c r="V108" s="67"/>
      <c r="W108" s="226"/>
      <c r="X108" s="1"/>
      <c r="Y108" s="1"/>
      <c r="Z108" s="299"/>
    </row>
    <row r="109" spans="1:26" ht="24.95" customHeight="1">
      <c r="A109" s="296">
        <v>21</v>
      </c>
      <c r="B109" s="286" t="s">
        <v>512</v>
      </c>
      <c r="C109" s="284" t="s">
        <v>467</v>
      </c>
      <c r="D109" s="156" t="s">
        <v>467</v>
      </c>
      <c r="E109" s="200" t="s">
        <v>716</v>
      </c>
      <c r="F109" s="1"/>
      <c r="G109" s="1" t="s">
        <v>723</v>
      </c>
      <c r="H109" s="1" t="s">
        <v>713</v>
      </c>
      <c r="I109" s="188"/>
      <c r="J109" s="188"/>
      <c r="K109" s="165"/>
      <c r="L109" s="152" t="s">
        <v>123</v>
      </c>
      <c r="M109" s="156"/>
      <c r="N109" s="166" t="s">
        <v>513</v>
      </c>
      <c r="O109" s="166" t="s">
        <v>442</v>
      </c>
      <c r="P109" s="166"/>
      <c r="Q109" s="159" t="s">
        <v>514</v>
      </c>
      <c r="R109" s="167"/>
      <c r="S109" s="167"/>
      <c r="T109" s="167"/>
      <c r="V109" s="67"/>
      <c r="W109" s="226"/>
      <c r="X109" s="1"/>
      <c r="Y109" s="1"/>
      <c r="Z109" s="299"/>
    </row>
    <row r="110" spans="1:26" ht="24.95" customHeight="1">
      <c r="A110" s="296">
        <v>22</v>
      </c>
      <c r="B110" s="286" t="s">
        <v>515</v>
      </c>
      <c r="C110" s="284" t="s">
        <v>832</v>
      </c>
      <c r="D110" s="156" t="s">
        <v>467</v>
      </c>
      <c r="E110" s="200" t="s">
        <v>716</v>
      </c>
      <c r="F110" s="1"/>
      <c r="G110" s="1" t="s">
        <v>723</v>
      </c>
      <c r="H110" s="1" t="s">
        <v>713</v>
      </c>
      <c r="I110" s="188"/>
      <c r="J110" s="188"/>
      <c r="K110" s="165"/>
      <c r="L110" s="152" t="s">
        <v>123</v>
      </c>
      <c r="M110" s="156"/>
      <c r="N110" s="166" t="s">
        <v>516</v>
      </c>
      <c r="O110" s="166" t="s">
        <v>442</v>
      </c>
      <c r="P110" s="166"/>
      <c r="Q110" s="159"/>
      <c r="R110" s="167"/>
      <c r="S110" s="167"/>
      <c r="T110" s="167"/>
      <c r="V110" s="67"/>
      <c r="W110" s="226"/>
      <c r="X110" s="1"/>
      <c r="Y110" s="1"/>
      <c r="Z110" s="299"/>
    </row>
    <row r="111" spans="1:26" ht="24.95" customHeight="1">
      <c r="A111" s="296">
        <v>23</v>
      </c>
      <c r="B111" s="286" t="s">
        <v>517</v>
      </c>
      <c r="C111" s="284" t="s">
        <v>761</v>
      </c>
      <c r="D111" s="156" t="s">
        <v>467</v>
      </c>
      <c r="E111" s="200" t="s">
        <v>716</v>
      </c>
      <c r="F111" s="1"/>
      <c r="G111" s="1" t="s">
        <v>723</v>
      </c>
      <c r="H111" s="1" t="s">
        <v>713</v>
      </c>
      <c r="I111" s="188"/>
      <c r="J111" s="188"/>
      <c r="K111" s="165"/>
      <c r="L111" s="152" t="s">
        <v>123</v>
      </c>
      <c r="M111" s="156"/>
      <c r="N111" s="166" t="s">
        <v>286</v>
      </c>
      <c r="O111" s="166" t="s">
        <v>442</v>
      </c>
      <c r="P111" s="166"/>
      <c r="Q111" s="159"/>
      <c r="R111" s="167"/>
      <c r="S111" s="167"/>
      <c r="T111" s="167"/>
      <c r="V111" s="67"/>
      <c r="W111" s="226"/>
      <c r="X111" s="1"/>
      <c r="Y111" s="1"/>
      <c r="Z111" s="299"/>
    </row>
    <row r="112" spans="1:26" ht="24.95" customHeight="1">
      <c r="A112" s="296">
        <v>24</v>
      </c>
      <c r="B112" s="286" t="s">
        <v>518</v>
      </c>
      <c r="C112" s="284" t="s">
        <v>831</v>
      </c>
      <c r="D112" s="156" t="s">
        <v>467</v>
      </c>
      <c r="E112" s="200" t="s">
        <v>716</v>
      </c>
      <c r="F112" s="1"/>
      <c r="G112" s="1" t="s">
        <v>723</v>
      </c>
      <c r="H112" s="1" t="s">
        <v>713</v>
      </c>
      <c r="I112" s="188"/>
      <c r="J112" s="188"/>
      <c r="K112" s="165"/>
      <c r="L112" s="152" t="s">
        <v>123</v>
      </c>
      <c r="M112" s="156"/>
      <c r="N112" s="166" t="s">
        <v>519</v>
      </c>
      <c r="O112" s="166" t="s">
        <v>442</v>
      </c>
      <c r="P112" s="166"/>
      <c r="Q112" s="159"/>
      <c r="R112" s="167"/>
      <c r="S112" s="167"/>
      <c r="T112" s="167"/>
      <c r="V112" s="67"/>
      <c r="W112" s="226"/>
      <c r="X112" s="1"/>
      <c r="Y112" s="1"/>
      <c r="Z112" s="299"/>
    </row>
    <row r="113" spans="1:26" ht="24.95" customHeight="1">
      <c r="A113" s="310">
        <v>25</v>
      </c>
      <c r="B113" s="286" t="s">
        <v>520</v>
      </c>
      <c r="C113" s="284" t="s">
        <v>467</v>
      </c>
      <c r="D113" s="156" t="s">
        <v>467</v>
      </c>
      <c r="E113" s="200" t="s">
        <v>716</v>
      </c>
      <c r="F113" s="1"/>
      <c r="G113" s="1" t="s">
        <v>723</v>
      </c>
      <c r="H113" s="1" t="s">
        <v>713</v>
      </c>
      <c r="I113" s="188"/>
      <c r="J113" s="188"/>
      <c r="K113" s="165"/>
      <c r="L113" s="152" t="s">
        <v>123</v>
      </c>
      <c r="M113" s="156"/>
      <c r="N113" s="166" t="s">
        <v>521</v>
      </c>
      <c r="O113" s="166" t="s">
        <v>442</v>
      </c>
      <c r="P113" s="166"/>
      <c r="Q113" s="159"/>
      <c r="R113" s="167"/>
      <c r="S113" s="167"/>
      <c r="T113" s="167"/>
      <c r="V113" s="67"/>
      <c r="W113" s="226"/>
      <c r="X113" s="1"/>
      <c r="Y113" s="1"/>
      <c r="Z113" s="299"/>
    </row>
    <row r="114" spans="1:26" ht="24.95" customHeight="1">
      <c r="A114" s="290">
        <v>26</v>
      </c>
      <c r="B114" s="286" t="s">
        <v>522</v>
      </c>
      <c r="C114" s="284" t="s">
        <v>757</v>
      </c>
      <c r="D114" s="156" t="s">
        <v>467</v>
      </c>
      <c r="E114" s="200" t="s">
        <v>716</v>
      </c>
      <c r="F114" s="1"/>
      <c r="G114" s="1" t="s">
        <v>723</v>
      </c>
      <c r="H114" s="1" t="s">
        <v>713</v>
      </c>
      <c r="I114" s="188"/>
      <c r="J114" s="188"/>
      <c r="K114" s="165"/>
      <c r="L114" s="152" t="s">
        <v>123</v>
      </c>
      <c r="M114" s="156"/>
      <c r="N114" s="166" t="s">
        <v>523</v>
      </c>
      <c r="O114" s="166"/>
      <c r="P114" s="166"/>
      <c r="Q114" s="159"/>
      <c r="R114" s="167"/>
      <c r="S114" s="167"/>
      <c r="T114" s="167"/>
      <c r="V114" s="67"/>
      <c r="W114" s="226"/>
      <c r="X114" s="1"/>
      <c r="Y114" s="1"/>
      <c r="Z114" s="299"/>
    </row>
    <row r="115" spans="1:26" ht="24.95" customHeight="1">
      <c r="A115" s="290">
        <v>27</v>
      </c>
      <c r="B115" s="286" t="s">
        <v>524</v>
      </c>
      <c r="C115" s="284" t="s">
        <v>757</v>
      </c>
      <c r="D115" s="156" t="s">
        <v>467</v>
      </c>
      <c r="E115" s="200" t="s">
        <v>716</v>
      </c>
      <c r="F115" s="1"/>
      <c r="G115" s="1" t="s">
        <v>723</v>
      </c>
      <c r="H115" s="1" t="s">
        <v>713</v>
      </c>
      <c r="I115" s="188"/>
      <c r="J115" s="188"/>
      <c r="K115" s="165"/>
      <c r="L115" s="152" t="s">
        <v>123</v>
      </c>
      <c r="M115" s="156"/>
      <c r="N115" s="166" t="s">
        <v>525</v>
      </c>
      <c r="O115" s="166" t="s">
        <v>526</v>
      </c>
      <c r="P115" s="166"/>
      <c r="Q115" s="159" t="s">
        <v>527</v>
      </c>
      <c r="R115" s="167"/>
      <c r="S115" s="167"/>
      <c r="T115" s="167"/>
      <c r="V115" s="67"/>
      <c r="W115" s="226"/>
      <c r="X115" s="1"/>
      <c r="Y115" s="1"/>
      <c r="Z115" s="299"/>
    </row>
    <row r="116" spans="1:26" ht="24.95" customHeight="1">
      <c r="A116" s="290">
        <v>28</v>
      </c>
      <c r="B116" s="286" t="s">
        <v>528</v>
      </c>
      <c r="C116" s="284" t="s">
        <v>467</v>
      </c>
      <c r="D116" s="156" t="s">
        <v>467</v>
      </c>
      <c r="E116" s="200" t="s">
        <v>716</v>
      </c>
      <c r="F116" s="1"/>
      <c r="G116" s="1" t="s">
        <v>723</v>
      </c>
      <c r="H116" s="1" t="s">
        <v>713</v>
      </c>
      <c r="I116" s="188"/>
      <c r="J116" s="188"/>
      <c r="K116" s="165"/>
      <c r="L116" s="152" t="s">
        <v>123</v>
      </c>
      <c r="M116" s="156"/>
      <c r="N116" s="166" t="s">
        <v>529</v>
      </c>
      <c r="O116" s="166"/>
      <c r="P116" s="166"/>
      <c r="Q116" s="159" t="s">
        <v>530</v>
      </c>
      <c r="R116" s="167"/>
      <c r="S116" s="167"/>
      <c r="T116" s="167"/>
      <c r="V116" s="67"/>
      <c r="W116" s="226"/>
      <c r="X116" s="1"/>
      <c r="Y116" s="1"/>
      <c r="Z116" s="299"/>
    </row>
    <row r="117" spans="1:26" ht="24.95" customHeight="1">
      <c r="A117" s="310">
        <v>29</v>
      </c>
      <c r="B117" s="286" t="s">
        <v>531</v>
      </c>
      <c r="C117" s="284" t="s">
        <v>467</v>
      </c>
      <c r="D117" s="156" t="s">
        <v>467</v>
      </c>
      <c r="E117" s="200" t="s">
        <v>716</v>
      </c>
      <c r="F117" s="1"/>
      <c r="G117" s="1" t="s">
        <v>723</v>
      </c>
      <c r="H117" s="1" t="s">
        <v>713</v>
      </c>
      <c r="I117" s="188"/>
      <c r="J117" s="188"/>
      <c r="K117" s="165"/>
      <c r="L117" s="152" t="s">
        <v>123</v>
      </c>
      <c r="M117" s="156"/>
      <c r="N117" s="166" t="s">
        <v>532</v>
      </c>
      <c r="O117" s="166"/>
      <c r="P117" s="166"/>
      <c r="Q117" s="159" t="s">
        <v>533</v>
      </c>
      <c r="R117" s="167"/>
      <c r="S117" s="167"/>
      <c r="T117" s="167"/>
      <c r="V117" s="67"/>
      <c r="W117" s="226"/>
      <c r="X117" s="1"/>
      <c r="Y117" s="1"/>
      <c r="Z117" s="299"/>
    </row>
    <row r="118" spans="1:26" ht="24.95" customHeight="1">
      <c r="A118" s="296">
        <v>30</v>
      </c>
      <c r="B118" s="286" t="s">
        <v>534</v>
      </c>
      <c r="C118" s="284" t="s">
        <v>467</v>
      </c>
      <c r="D118" s="156" t="s">
        <v>467</v>
      </c>
      <c r="E118" s="200" t="s">
        <v>716</v>
      </c>
      <c r="F118" s="1"/>
      <c r="G118" s="1" t="s">
        <v>723</v>
      </c>
      <c r="H118" s="1" t="s">
        <v>713</v>
      </c>
      <c r="I118" s="188"/>
      <c r="J118" s="188"/>
      <c r="K118" s="165"/>
      <c r="L118" s="152" t="s">
        <v>123</v>
      </c>
      <c r="M118" s="156"/>
      <c r="N118" s="166"/>
      <c r="O118" s="166"/>
      <c r="P118" s="166"/>
      <c r="Q118" s="159"/>
      <c r="R118" s="167"/>
      <c r="S118" s="167"/>
      <c r="T118" s="167"/>
      <c r="V118" s="67"/>
      <c r="W118" s="226"/>
      <c r="X118" s="1"/>
      <c r="Y118" s="1"/>
      <c r="Z118" s="299"/>
    </row>
    <row r="119" spans="1:26" ht="24.95" customHeight="1">
      <c r="A119" s="296">
        <v>31</v>
      </c>
      <c r="B119" s="286" t="s">
        <v>535</v>
      </c>
      <c r="C119" s="284" t="s">
        <v>758</v>
      </c>
      <c r="D119" s="156" t="s">
        <v>467</v>
      </c>
      <c r="E119" s="200" t="s">
        <v>716</v>
      </c>
      <c r="F119" s="1"/>
      <c r="G119" s="1" t="s">
        <v>723</v>
      </c>
      <c r="H119" s="1" t="s">
        <v>713</v>
      </c>
      <c r="I119" s="188"/>
      <c r="J119" s="188"/>
      <c r="K119" s="165"/>
      <c r="L119" s="152" t="s">
        <v>123</v>
      </c>
      <c r="M119" s="156"/>
      <c r="N119" s="166"/>
      <c r="O119" s="166"/>
      <c r="P119" s="166"/>
      <c r="Q119" s="159"/>
      <c r="R119" s="167"/>
      <c r="S119" s="167"/>
      <c r="T119" s="167"/>
      <c r="V119" s="67"/>
      <c r="W119" s="226"/>
      <c r="X119" s="1"/>
      <c r="Y119" s="1"/>
      <c r="Z119" s="299"/>
    </row>
    <row r="120" spans="1:26" ht="24.95" customHeight="1">
      <c r="A120" s="296">
        <v>32</v>
      </c>
      <c r="B120" s="286" t="s">
        <v>536</v>
      </c>
      <c r="C120" s="284" t="s">
        <v>467</v>
      </c>
      <c r="D120" s="156" t="s">
        <v>467</v>
      </c>
      <c r="E120" s="200" t="s">
        <v>716</v>
      </c>
      <c r="F120" s="1"/>
      <c r="G120" s="1" t="s">
        <v>723</v>
      </c>
      <c r="H120" s="1" t="s">
        <v>713</v>
      </c>
      <c r="I120" s="188"/>
      <c r="J120" s="188"/>
      <c r="K120" s="165"/>
      <c r="L120" s="152" t="s">
        <v>123</v>
      </c>
      <c r="M120" s="156"/>
      <c r="N120" s="166" t="s">
        <v>537</v>
      </c>
      <c r="O120" s="166" t="s">
        <v>538</v>
      </c>
      <c r="P120" s="166"/>
      <c r="Q120" s="159" t="s">
        <v>539</v>
      </c>
      <c r="R120" s="167"/>
      <c r="S120" s="167"/>
      <c r="T120" s="167"/>
      <c r="V120" s="67"/>
      <c r="W120" s="226"/>
      <c r="X120" s="1"/>
      <c r="Y120" s="1"/>
      <c r="Z120" s="299"/>
    </row>
    <row r="121" spans="1:26" ht="24.95" customHeight="1">
      <c r="A121" s="290">
        <v>33</v>
      </c>
      <c r="B121" s="286" t="s">
        <v>540</v>
      </c>
      <c r="C121" s="284" t="s">
        <v>833</v>
      </c>
      <c r="D121" s="156" t="s">
        <v>467</v>
      </c>
      <c r="E121" s="200" t="s">
        <v>716</v>
      </c>
      <c r="F121" s="1"/>
      <c r="G121" s="1" t="s">
        <v>723</v>
      </c>
      <c r="H121" s="1" t="s">
        <v>713</v>
      </c>
      <c r="I121" s="188"/>
      <c r="J121" s="188"/>
      <c r="K121" s="165"/>
      <c r="L121" s="152" t="s">
        <v>123</v>
      </c>
      <c r="M121" s="156"/>
      <c r="N121" s="166" t="s">
        <v>541</v>
      </c>
      <c r="O121" s="166"/>
      <c r="P121" s="166"/>
      <c r="Q121" s="159"/>
      <c r="R121" s="167"/>
      <c r="S121" s="167"/>
      <c r="T121" s="167"/>
      <c r="V121" s="67"/>
      <c r="W121" s="226"/>
      <c r="X121" s="1"/>
      <c r="Y121" s="1"/>
      <c r="Z121" s="299"/>
    </row>
    <row r="122" spans="1:26" ht="24.95" customHeight="1">
      <c r="A122" s="290">
        <v>34</v>
      </c>
      <c r="B122" s="286" t="s">
        <v>542</v>
      </c>
      <c r="C122" s="284" t="s">
        <v>467</v>
      </c>
      <c r="D122" s="156" t="s">
        <v>467</v>
      </c>
      <c r="E122" s="200" t="s">
        <v>716</v>
      </c>
      <c r="F122" s="1"/>
      <c r="G122" s="1" t="s">
        <v>723</v>
      </c>
      <c r="H122" s="1" t="s">
        <v>713</v>
      </c>
      <c r="I122" s="188"/>
      <c r="J122" s="188"/>
      <c r="K122" s="165"/>
      <c r="L122" s="152" t="s">
        <v>123</v>
      </c>
      <c r="M122" s="156"/>
      <c r="N122" s="166" t="s">
        <v>543</v>
      </c>
      <c r="O122" s="166"/>
      <c r="P122" s="166"/>
      <c r="Q122" s="159"/>
      <c r="R122" s="167"/>
      <c r="S122" s="167"/>
      <c r="T122" s="167"/>
      <c r="V122" s="67"/>
      <c r="W122" s="226"/>
      <c r="X122" s="1"/>
      <c r="Y122" s="1"/>
      <c r="Z122" s="299"/>
    </row>
    <row r="123" spans="1:26" ht="44.25" customHeight="1">
      <c r="A123" s="290">
        <v>35</v>
      </c>
      <c r="B123" s="287" t="s">
        <v>545</v>
      </c>
      <c r="C123" s="284" t="s">
        <v>834</v>
      </c>
      <c r="D123" s="156" t="s">
        <v>161</v>
      </c>
      <c r="E123" s="200" t="s">
        <v>716</v>
      </c>
      <c r="F123" s="1"/>
      <c r="G123" s="1" t="s">
        <v>723</v>
      </c>
      <c r="H123" s="1" t="s">
        <v>713</v>
      </c>
      <c r="I123" s="188"/>
      <c r="J123" s="188"/>
      <c r="K123" s="200" t="s">
        <v>546</v>
      </c>
      <c r="L123" s="200" t="s">
        <v>547</v>
      </c>
      <c r="M123" s="156"/>
      <c r="N123" s="156" t="s">
        <v>548</v>
      </c>
      <c r="O123" s="157" t="s">
        <v>430</v>
      </c>
      <c r="P123" s="158"/>
      <c r="Q123" s="159" t="s">
        <v>549</v>
      </c>
      <c r="S123" s="156"/>
      <c r="T123" s="236" t="s">
        <v>550</v>
      </c>
      <c r="V123" s="67"/>
      <c r="W123" s="226"/>
      <c r="X123" s="1"/>
      <c r="Y123" s="1"/>
      <c r="Z123" s="299"/>
    </row>
    <row r="124" spans="1:26" ht="39" customHeight="1">
      <c r="A124" s="290">
        <v>36</v>
      </c>
      <c r="B124" s="288" t="s">
        <v>551</v>
      </c>
      <c r="C124" s="284" t="s">
        <v>835</v>
      </c>
      <c r="D124" s="156" t="s">
        <v>161</v>
      </c>
      <c r="E124" s="200" t="s">
        <v>716</v>
      </c>
      <c r="F124" s="1"/>
      <c r="G124" s="1" t="s">
        <v>723</v>
      </c>
      <c r="H124" s="1" t="s">
        <v>713</v>
      </c>
      <c r="I124" s="188"/>
      <c r="J124" s="188"/>
      <c r="K124" s="200" t="s">
        <v>552</v>
      </c>
      <c r="L124" s="200" t="s">
        <v>547</v>
      </c>
      <c r="M124" s="156"/>
      <c r="N124" s="156" t="s">
        <v>553</v>
      </c>
      <c r="O124" s="157" t="s">
        <v>442</v>
      </c>
      <c r="P124" s="158"/>
      <c r="Q124" s="159" t="s">
        <v>554</v>
      </c>
      <c r="S124" s="156"/>
      <c r="T124" s="236"/>
      <c r="V124" s="67"/>
      <c r="W124" s="226"/>
      <c r="X124" s="1"/>
      <c r="Y124" s="1"/>
      <c r="Z124" s="299"/>
    </row>
    <row r="125" spans="1:26" ht="24.95" customHeight="1">
      <c r="A125" s="290">
        <v>37</v>
      </c>
      <c r="B125" s="287" t="s">
        <v>555</v>
      </c>
      <c r="C125" s="284" t="s">
        <v>836</v>
      </c>
      <c r="D125" s="156" t="s">
        <v>161</v>
      </c>
      <c r="E125" s="200" t="s">
        <v>716</v>
      </c>
      <c r="F125" s="1"/>
      <c r="G125" s="1" t="s">
        <v>723</v>
      </c>
      <c r="H125" s="1" t="s">
        <v>713</v>
      </c>
      <c r="I125" s="188"/>
      <c r="J125" s="188"/>
      <c r="K125" s="200" t="s">
        <v>552</v>
      </c>
      <c r="L125" s="200" t="s">
        <v>547</v>
      </c>
      <c r="M125" s="156"/>
      <c r="N125" s="156" t="s">
        <v>556</v>
      </c>
      <c r="O125" s="157" t="s">
        <v>442</v>
      </c>
      <c r="P125" s="158"/>
      <c r="Q125" s="159" t="s">
        <v>557</v>
      </c>
      <c r="S125" s="156"/>
      <c r="T125" s="236"/>
      <c r="V125" s="67"/>
      <c r="W125" s="226"/>
      <c r="X125" s="1"/>
      <c r="Y125" s="1"/>
      <c r="Z125" s="299"/>
    </row>
    <row r="126" spans="1:26" ht="24.95" customHeight="1">
      <c r="A126" s="290">
        <v>38</v>
      </c>
      <c r="B126" s="287" t="s">
        <v>558</v>
      </c>
      <c r="C126" s="284" t="s">
        <v>793</v>
      </c>
      <c r="D126" s="156" t="s">
        <v>161</v>
      </c>
      <c r="E126" s="200" t="s">
        <v>716</v>
      </c>
      <c r="F126" s="1"/>
      <c r="G126" s="1" t="s">
        <v>723</v>
      </c>
      <c r="H126" s="1" t="s">
        <v>713</v>
      </c>
      <c r="I126" s="188"/>
      <c r="J126" s="188"/>
      <c r="K126" s="200" t="s">
        <v>559</v>
      </c>
      <c r="L126" s="200" t="s">
        <v>560</v>
      </c>
      <c r="M126" s="200"/>
      <c r="N126" s="200" t="s">
        <v>561</v>
      </c>
      <c r="O126" s="157" t="s">
        <v>442</v>
      </c>
      <c r="P126" s="158"/>
      <c r="Q126" s="159"/>
      <c r="S126" s="156"/>
      <c r="T126" s="236"/>
      <c r="V126" s="67"/>
      <c r="W126" s="226"/>
      <c r="X126" s="1"/>
      <c r="Y126" s="1"/>
      <c r="Z126" s="299"/>
    </row>
    <row r="127" spans="1:26" ht="24.95" customHeight="1">
      <c r="A127" s="290">
        <v>39</v>
      </c>
      <c r="B127" s="287" t="s">
        <v>563</v>
      </c>
      <c r="C127" s="284" t="s">
        <v>837</v>
      </c>
      <c r="D127" s="156"/>
      <c r="E127" s="200" t="s">
        <v>716</v>
      </c>
      <c r="F127" s="1"/>
      <c r="G127" s="1" t="s">
        <v>723</v>
      </c>
      <c r="H127" s="1" t="s">
        <v>713</v>
      </c>
      <c r="I127" s="188"/>
      <c r="J127" s="188"/>
      <c r="K127" s="165"/>
      <c r="L127" s="142" t="s">
        <v>562</v>
      </c>
      <c r="M127" s="200"/>
      <c r="N127" s="200" t="s">
        <v>232</v>
      </c>
      <c r="O127" s="157" t="s">
        <v>442</v>
      </c>
      <c r="P127" s="158"/>
      <c r="Q127" s="159"/>
      <c r="S127" s="156"/>
      <c r="T127" s="236"/>
      <c r="V127" s="67"/>
      <c r="W127" s="226"/>
      <c r="X127" s="1"/>
      <c r="Y127" s="1"/>
      <c r="Z127" s="299"/>
    </row>
    <row r="128" spans="1:26" ht="24.95" customHeight="1">
      <c r="A128" s="290">
        <v>40</v>
      </c>
      <c r="B128" s="287" t="s">
        <v>564</v>
      </c>
      <c r="C128" s="284" t="s">
        <v>747</v>
      </c>
      <c r="D128" s="156"/>
      <c r="E128" s="200" t="s">
        <v>716</v>
      </c>
      <c r="F128" s="1"/>
      <c r="G128" s="1" t="s">
        <v>723</v>
      </c>
      <c r="H128" s="1" t="s">
        <v>713</v>
      </c>
      <c r="I128" s="188"/>
      <c r="J128" s="188"/>
      <c r="K128" s="165"/>
      <c r="L128" s="142" t="s">
        <v>562</v>
      </c>
      <c r="M128" s="200"/>
      <c r="N128" s="200"/>
      <c r="O128" s="157"/>
      <c r="P128" s="158"/>
      <c r="Q128" s="159"/>
      <c r="S128" s="156"/>
      <c r="T128" s="236"/>
      <c r="V128" s="67"/>
      <c r="W128" s="226"/>
      <c r="X128" s="1"/>
      <c r="Y128" s="1"/>
      <c r="Z128" s="299"/>
    </row>
    <row r="129" spans="1:26" ht="24.95" customHeight="1">
      <c r="A129" s="290">
        <v>41</v>
      </c>
      <c r="B129" s="286" t="s">
        <v>565</v>
      </c>
      <c r="C129" s="284" t="s">
        <v>838</v>
      </c>
      <c r="D129" s="156" t="s">
        <v>467</v>
      </c>
      <c r="E129" s="200" t="s">
        <v>716</v>
      </c>
      <c r="F129" s="1"/>
      <c r="G129" s="1" t="s">
        <v>723</v>
      </c>
      <c r="H129" s="1" t="s">
        <v>713</v>
      </c>
      <c r="I129" s="188"/>
      <c r="J129" s="188"/>
      <c r="K129" s="165"/>
      <c r="L129" s="142" t="s">
        <v>562</v>
      </c>
      <c r="M129" s="200" t="s">
        <v>566</v>
      </c>
      <c r="N129" s="200" t="s">
        <v>567</v>
      </c>
      <c r="O129" s="157" t="s">
        <v>8</v>
      </c>
      <c r="P129" s="166"/>
      <c r="Q129" s="159" t="s">
        <v>568</v>
      </c>
      <c r="S129" s="167"/>
      <c r="T129" s="167"/>
      <c r="V129" s="67"/>
      <c r="W129" s="226"/>
      <c r="X129" s="1"/>
      <c r="Y129" s="1"/>
      <c r="Z129" s="299"/>
    </row>
    <row r="130" spans="1:26" ht="24.95" customHeight="1">
      <c r="A130" s="290">
        <v>42</v>
      </c>
      <c r="B130" s="287" t="s">
        <v>569</v>
      </c>
      <c r="C130" s="284" t="s">
        <v>839</v>
      </c>
      <c r="D130" s="156" t="s">
        <v>467</v>
      </c>
      <c r="E130" s="200" t="s">
        <v>716</v>
      </c>
      <c r="F130" s="1"/>
      <c r="G130" s="1" t="s">
        <v>723</v>
      </c>
      <c r="H130" s="1" t="s">
        <v>713</v>
      </c>
      <c r="I130" s="188"/>
      <c r="J130" s="188"/>
      <c r="K130" s="165"/>
      <c r="L130" s="142" t="s">
        <v>562</v>
      </c>
      <c r="M130" s="200"/>
      <c r="N130" s="200" t="s">
        <v>570</v>
      </c>
      <c r="O130" s="157" t="s">
        <v>442</v>
      </c>
      <c r="P130" s="172"/>
      <c r="Q130" s="159" t="s">
        <v>571</v>
      </c>
      <c r="S130" s="156"/>
      <c r="T130" s="236"/>
      <c r="V130" s="67"/>
      <c r="W130" s="226"/>
      <c r="X130" s="1"/>
      <c r="Y130" s="1"/>
      <c r="Z130" s="299"/>
    </row>
    <row r="131" spans="1:26" ht="24.95" customHeight="1">
      <c r="A131" s="290">
        <v>43</v>
      </c>
      <c r="B131" s="287" t="s">
        <v>572</v>
      </c>
      <c r="C131" s="284" t="s">
        <v>467</v>
      </c>
      <c r="D131" s="156" t="s">
        <v>467</v>
      </c>
      <c r="E131" s="200" t="s">
        <v>716</v>
      </c>
      <c r="F131" s="1"/>
      <c r="G131" s="1" t="s">
        <v>723</v>
      </c>
      <c r="H131" s="1" t="s">
        <v>713</v>
      </c>
      <c r="I131" s="188"/>
      <c r="J131" s="188"/>
      <c r="K131" s="165"/>
      <c r="L131" s="142" t="s">
        <v>562</v>
      </c>
      <c r="M131" s="200"/>
      <c r="N131" s="200" t="s">
        <v>573</v>
      </c>
      <c r="O131" s="157" t="s">
        <v>442</v>
      </c>
      <c r="P131" s="172"/>
      <c r="Q131" s="159" t="s">
        <v>574</v>
      </c>
      <c r="S131" s="156"/>
      <c r="T131" s="236"/>
      <c r="V131" s="67"/>
      <c r="W131" s="226"/>
      <c r="X131" s="1"/>
      <c r="Y131" s="1"/>
      <c r="Z131" s="299"/>
    </row>
    <row r="132" spans="1:26" ht="24.95" customHeight="1">
      <c r="A132" s="310">
        <v>44</v>
      </c>
      <c r="B132" s="286" t="s">
        <v>575</v>
      </c>
      <c r="C132" s="284" t="s">
        <v>840</v>
      </c>
      <c r="D132" s="156" t="s">
        <v>467</v>
      </c>
      <c r="E132" s="200" t="s">
        <v>716</v>
      </c>
      <c r="F132" s="1"/>
      <c r="G132" s="1" t="s">
        <v>723</v>
      </c>
      <c r="H132" s="1" t="s">
        <v>713</v>
      </c>
      <c r="I132" s="188"/>
      <c r="J132" s="188"/>
      <c r="K132" s="165"/>
      <c r="L132" s="142" t="s">
        <v>562</v>
      </c>
      <c r="M132" s="200" t="s">
        <v>576</v>
      </c>
      <c r="N132" s="200" t="s">
        <v>577</v>
      </c>
      <c r="O132" s="157" t="s">
        <v>8</v>
      </c>
      <c r="P132" s="166"/>
      <c r="Q132" s="159" t="s">
        <v>578</v>
      </c>
      <c r="S132" s="167"/>
      <c r="T132" s="167"/>
      <c r="V132" s="67"/>
      <c r="W132" s="226"/>
      <c r="X132" s="1"/>
      <c r="Y132" s="1"/>
      <c r="Z132" s="299"/>
    </row>
    <row r="133" spans="1:26" ht="24.95" customHeight="1">
      <c r="A133" s="290">
        <v>45</v>
      </c>
      <c r="B133" s="287" t="s">
        <v>580</v>
      </c>
      <c r="C133" s="284" t="s">
        <v>779</v>
      </c>
      <c r="D133" s="156" t="s">
        <v>161</v>
      </c>
      <c r="E133" s="200" t="s">
        <v>716</v>
      </c>
      <c r="F133" s="1"/>
      <c r="G133" s="1" t="s">
        <v>723</v>
      </c>
      <c r="H133" s="1" t="s">
        <v>713</v>
      </c>
      <c r="I133" s="188"/>
      <c r="J133" s="188"/>
      <c r="K133" s="200" t="s">
        <v>581</v>
      </c>
      <c r="L133" s="142" t="s">
        <v>579</v>
      </c>
      <c r="M133" s="200" t="s">
        <v>582</v>
      </c>
      <c r="N133" s="200" t="s">
        <v>583</v>
      </c>
      <c r="O133" s="165" t="s">
        <v>430</v>
      </c>
      <c r="P133" s="175"/>
      <c r="Q133" s="159" t="s">
        <v>584</v>
      </c>
      <c r="S133" s="156"/>
      <c r="T133" s="236" t="s">
        <v>585</v>
      </c>
      <c r="V133" s="67"/>
      <c r="W133" s="226"/>
      <c r="X133" s="1"/>
      <c r="Y133" s="1"/>
      <c r="Z133" s="299"/>
    </row>
    <row r="134" spans="1:26" ht="24.95" customHeight="1">
      <c r="A134" s="290">
        <v>46</v>
      </c>
      <c r="B134" s="287" t="s">
        <v>586</v>
      </c>
      <c r="C134" s="284" t="s">
        <v>841</v>
      </c>
      <c r="D134" s="156" t="s">
        <v>161</v>
      </c>
      <c r="E134" s="200" t="s">
        <v>716</v>
      </c>
      <c r="F134" s="1"/>
      <c r="G134" s="1" t="s">
        <v>723</v>
      </c>
      <c r="H134" s="1" t="s">
        <v>713</v>
      </c>
      <c r="I134" s="188"/>
      <c r="J134" s="188"/>
      <c r="K134" s="200" t="s">
        <v>163</v>
      </c>
      <c r="L134" s="142" t="s">
        <v>579</v>
      </c>
      <c r="M134" s="200" t="s">
        <v>582</v>
      </c>
      <c r="N134" s="200" t="s">
        <v>587</v>
      </c>
      <c r="O134" s="165" t="s">
        <v>588</v>
      </c>
      <c r="P134" s="176"/>
      <c r="Q134" s="159" t="s">
        <v>589</v>
      </c>
      <c r="S134" s="156"/>
      <c r="T134" s="236"/>
      <c r="V134" s="67"/>
      <c r="W134" s="226"/>
      <c r="X134" s="1"/>
      <c r="Y134" s="1"/>
      <c r="Z134" s="299"/>
    </row>
    <row r="135" spans="1:26" ht="24.95" customHeight="1">
      <c r="A135" s="310">
        <v>47</v>
      </c>
      <c r="B135" s="287" t="s">
        <v>591</v>
      </c>
      <c r="C135" s="284" t="s">
        <v>802</v>
      </c>
      <c r="D135" s="166" t="s">
        <v>161</v>
      </c>
      <c r="E135" s="200" t="s">
        <v>716</v>
      </c>
      <c r="F135" s="1"/>
      <c r="G135" s="1" t="s">
        <v>723</v>
      </c>
      <c r="H135" s="1" t="s">
        <v>713</v>
      </c>
      <c r="I135" s="188"/>
      <c r="J135" s="188"/>
      <c r="K135" s="200" t="s">
        <v>592</v>
      </c>
      <c r="L135" s="142" t="s">
        <v>590</v>
      </c>
      <c r="M135" s="200" t="s">
        <v>593</v>
      </c>
      <c r="N135" s="200" t="s">
        <v>594</v>
      </c>
      <c r="O135" s="157" t="s">
        <v>442</v>
      </c>
      <c r="P135" s="159"/>
      <c r="Q135" s="159" t="s">
        <v>595</v>
      </c>
      <c r="S135" s="156"/>
      <c r="T135" s="236" t="s">
        <v>596</v>
      </c>
      <c r="V135" s="67"/>
      <c r="W135" s="226"/>
      <c r="X135" s="1"/>
      <c r="Y135" s="1"/>
      <c r="Z135" s="299"/>
    </row>
    <row r="136" spans="1:26" ht="24.95" customHeight="1">
      <c r="A136" s="290">
        <v>49</v>
      </c>
      <c r="B136" s="287" t="s">
        <v>597</v>
      </c>
      <c r="C136" s="284" t="s">
        <v>814</v>
      </c>
      <c r="D136" s="166" t="s">
        <v>467</v>
      </c>
      <c r="E136" s="200" t="s">
        <v>716</v>
      </c>
      <c r="F136" s="1"/>
      <c r="G136" s="1" t="s">
        <v>723</v>
      </c>
      <c r="H136" s="1" t="s">
        <v>713</v>
      </c>
      <c r="I136" s="188"/>
      <c r="J136" s="188"/>
      <c r="K136" s="165"/>
      <c r="L136" s="142" t="s">
        <v>590</v>
      </c>
      <c r="M136" s="200" t="s">
        <v>593</v>
      </c>
      <c r="N136" s="200" t="s">
        <v>598</v>
      </c>
      <c r="O136" s="157" t="s">
        <v>8</v>
      </c>
      <c r="P136" s="159"/>
      <c r="Q136" s="159" t="s">
        <v>599</v>
      </c>
      <c r="S136" s="156"/>
      <c r="T136" s="236"/>
      <c r="V136" s="67"/>
      <c r="W136" s="226"/>
      <c r="X136" s="1"/>
      <c r="Y136" s="1"/>
      <c r="Z136" s="299"/>
    </row>
    <row r="137" spans="1:26" ht="24.95" customHeight="1">
      <c r="A137" s="290"/>
      <c r="B137" s="287" t="s">
        <v>600</v>
      </c>
      <c r="C137" s="284" t="s">
        <v>467</v>
      </c>
      <c r="D137" s="166" t="s">
        <v>467</v>
      </c>
      <c r="E137" s="200" t="s">
        <v>716</v>
      </c>
      <c r="F137" s="1"/>
      <c r="G137" s="1" t="s">
        <v>723</v>
      </c>
      <c r="H137" s="1" t="s">
        <v>713</v>
      </c>
      <c r="I137" s="188"/>
      <c r="J137" s="188"/>
      <c r="K137" s="165"/>
      <c r="L137" s="142" t="s">
        <v>590</v>
      </c>
      <c r="M137" s="200" t="s">
        <v>593</v>
      </c>
      <c r="N137" s="200" t="s">
        <v>601</v>
      </c>
      <c r="O137" s="157" t="s">
        <v>442</v>
      </c>
      <c r="P137" s="159"/>
      <c r="Q137" s="159" t="s">
        <v>602</v>
      </c>
      <c r="S137" s="156"/>
      <c r="T137" s="236"/>
      <c r="V137" s="67"/>
      <c r="W137" s="226"/>
      <c r="X137" s="1"/>
      <c r="Y137" s="1"/>
      <c r="Z137" s="299"/>
    </row>
    <row r="138" spans="1:26" ht="24.95" customHeight="1">
      <c r="A138" s="290">
        <v>49</v>
      </c>
      <c r="B138" s="287" t="s">
        <v>603</v>
      </c>
      <c r="C138" s="284" t="s">
        <v>769</v>
      </c>
      <c r="D138" s="156" t="s">
        <v>467</v>
      </c>
      <c r="E138" s="200" t="s">
        <v>716</v>
      </c>
      <c r="F138" s="1"/>
      <c r="G138" s="1" t="s">
        <v>723</v>
      </c>
      <c r="H138" s="1" t="s">
        <v>713</v>
      </c>
      <c r="I138" s="188"/>
      <c r="J138" s="188"/>
      <c r="K138" s="165"/>
      <c r="L138" s="142" t="s">
        <v>590</v>
      </c>
      <c r="M138" s="200" t="s">
        <v>593</v>
      </c>
      <c r="N138" s="200" t="s">
        <v>604</v>
      </c>
      <c r="O138" s="157" t="s">
        <v>8</v>
      </c>
      <c r="P138" s="176"/>
      <c r="Q138" s="159"/>
      <c r="S138" s="156"/>
      <c r="T138" s="178"/>
      <c r="V138" s="67"/>
      <c r="W138" s="226"/>
      <c r="X138" s="1"/>
      <c r="Y138" s="1"/>
      <c r="Z138" s="299"/>
    </row>
    <row r="139" spans="1:26" ht="24.95" customHeight="1">
      <c r="A139" s="310">
        <v>50</v>
      </c>
      <c r="B139" s="287" t="s">
        <v>605</v>
      </c>
      <c r="C139" s="284" t="s">
        <v>822</v>
      </c>
      <c r="D139" s="156" t="s">
        <v>467</v>
      </c>
      <c r="E139" s="200" t="s">
        <v>716</v>
      </c>
      <c r="F139" s="1"/>
      <c r="G139" s="1" t="s">
        <v>723</v>
      </c>
      <c r="H139" s="1" t="s">
        <v>713</v>
      </c>
      <c r="I139" s="188"/>
      <c r="J139" s="188"/>
      <c r="K139" s="165"/>
      <c r="L139" s="142" t="s">
        <v>590</v>
      </c>
      <c r="M139" s="200" t="s">
        <v>593</v>
      </c>
      <c r="N139" s="200" t="s">
        <v>606</v>
      </c>
      <c r="O139" s="157" t="s">
        <v>8</v>
      </c>
      <c r="P139" s="176"/>
      <c r="Q139" s="159"/>
      <c r="S139" s="156"/>
      <c r="T139" s="178"/>
      <c r="V139" s="67"/>
      <c r="W139" s="226"/>
      <c r="X139" s="1"/>
      <c r="Y139" s="1"/>
      <c r="Z139" s="299"/>
    </row>
    <row r="140" spans="1:26" ht="24.95" customHeight="1">
      <c r="A140" s="310">
        <v>51</v>
      </c>
      <c r="B140" s="287" t="s">
        <v>823</v>
      </c>
      <c r="C140" s="284" t="s">
        <v>824</v>
      </c>
      <c r="D140" s="156"/>
      <c r="E140" s="200" t="s">
        <v>716</v>
      </c>
      <c r="F140" s="1"/>
      <c r="G140" s="1" t="s">
        <v>723</v>
      </c>
      <c r="H140" s="1" t="s">
        <v>713</v>
      </c>
      <c r="I140" s="188"/>
      <c r="J140" s="188"/>
      <c r="K140" s="165"/>
      <c r="L140" s="156"/>
      <c r="M140" s="200"/>
      <c r="N140" s="200"/>
      <c r="O140" s="157"/>
      <c r="P140" s="176"/>
      <c r="Q140" s="159"/>
      <c r="S140" s="156"/>
      <c r="T140" s="178"/>
      <c r="V140" s="67"/>
      <c r="W140" s="226"/>
      <c r="X140" s="1"/>
      <c r="Y140" s="1"/>
      <c r="Z140" s="299"/>
    </row>
    <row r="141" spans="1:26" ht="24.95" customHeight="1">
      <c r="A141" s="290">
        <v>52</v>
      </c>
      <c r="B141" s="287" t="s">
        <v>609</v>
      </c>
      <c r="C141" s="284" t="s">
        <v>752</v>
      </c>
      <c r="D141" s="156" t="s">
        <v>138</v>
      </c>
      <c r="E141" s="200" t="s">
        <v>716</v>
      </c>
      <c r="F141" s="1"/>
      <c r="G141" s="1" t="s">
        <v>723</v>
      </c>
      <c r="H141" s="1" t="s">
        <v>713</v>
      </c>
      <c r="I141" s="188"/>
      <c r="J141" s="188"/>
      <c r="K141" s="165"/>
      <c r="L141" s="156" t="s">
        <v>608</v>
      </c>
      <c r="M141" s="200"/>
      <c r="N141" s="200" t="s">
        <v>610</v>
      </c>
      <c r="O141" s="157" t="s">
        <v>8</v>
      </c>
      <c r="P141" s="176"/>
      <c r="Q141" s="159" t="s">
        <v>611</v>
      </c>
      <c r="S141" s="156"/>
      <c r="T141" s="178"/>
      <c r="V141" s="67"/>
      <c r="W141" s="226"/>
      <c r="X141" s="1"/>
      <c r="Y141" s="1"/>
      <c r="Z141" s="299"/>
    </row>
    <row r="142" spans="1:26" ht="24.95" customHeight="1">
      <c r="A142" s="290">
        <v>53</v>
      </c>
      <c r="B142" s="287" t="s">
        <v>612</v>
      </c>
      <c r="C142" s="284" t="s">
        <v>821</v>
      </c>
      <c r="D142" s="156" t="s">
        <v>161</v>
      </c>
      <c r="E142" s="200" t="s">
        <v>716</v>
      </c>
      <c r="F142" s="1"/>
      <c r="G142" s="1" t="s">
        <v>723</v>
      </c>
      <c r="H142" s="1" t="s">
        <v>713</v>
      </c>
      <c r="I142" s="188"/>
      <c r="J142" s="188"/>
      <c r="K142" s="165"/>
      <c r="L142" s="156" t="s">
        <v>608</v>
      </c>
      <c r="M142" s="156"/>
      <c r="N142" s="156" t="s">
        <v>613</v>
      </c>
      <c r="O142" s="157" t="s">
        <v>442</v>
      </c>
      <c r="P142" s="172"/>
      <c r="Q142" s="159" t="s">
        <v>614</v>
      </c>
      <c r="S142" s="156"/>
      <c r="T142" s="236"/>
      <c r="V142" s="67"/>
      <c r="W142" s="226"/>
      <c r="X142" s="1"/>
      <c r="Y142" s="1"/>
      <c r="Z142" s="299"/>
    </row>
    <row r="143" spans="1:26" ht="24.95" customHeight="1">
      <c r="A143" s="290">
        <v>54</v>
      </c>
      <c r="B143" s="287" t="s">
        <v>615</v>
      </c>
      <c r="C143" s="284" t="s">
        <v>467</v>
      </c>
      <c r="D143" s="156" t="s">
        <v>467</v>
      </c>
      <c r="E143" s="200" t="s">
        <v>716</v>
      </c>
      <c r="F143" s="1"/>
      <c r="G143" s="1" t="s">
        <v>723</v>
      </c>
      <c r="H143" s="1" t="s">
        <v>713</v>
      </c>
      <c r="I143" s="188"/>
      <c r="J143" s="188"/>
      <c r="K143" s="165"/>
      <c r="L143" s="156" t="s">
        <v>608</v>
      </c>
      <c r="M143" s="156"/>
      <c r="N143" s="156"/>
      <c r="O143" s="165"/>
      <c r="P143" s="172"/>
      <c r="Q143" s="159"/>
      <c r="S143" s="156"/>
      <c r="T143" s="236"/>
      <c r="V143" s="67"/>
      <c r="W143" s="226"/>
      <c r="X143" s="1"/>
      <c r="Y143" s="1"/>
      <c r="Z143" s="299"/>
    </row>
    <row r="144" spans="1:26" ht="24.95" customHeight="1">
      <c r="A144" s="290">
        <v>55</v>
      </c>
      <c r="B144" s="287" t="s">
        <v>616</v>
      </c>
      <c r="C144" s="284" t="s">
        <v>820</v>
      </c>
      <c r="D144" s="156" t="s">
        <v>467</v>
      </c>
      <c r="E144" s="200" t="s">
        <v>716</v>
      </c>
      <c r="F144" s="1"/>
      <c r="G144" s="1" t="s">
        <v>723</v>
      </c>
      <c r="H144" s="1" t="s">
        <v>713</v>
      </c>
      <c r="I144" s="188"/>
      <c r="J144" s="188"/>
      <c r="K144" s="165"/>
      <c r="L144" s="156" t="s">
        <v>608</v>
      </c>
      <c r="M144" s="156"/>
      <c r="N144" s="156" t="s">
        <v>617</v>
      </c>
      <c r="O144" s="157" t="s">
        <v>8</v>
      </c>
      <c r="P144" s="172"/>
      <c r="Q144" s="159" t="s">
        <v>618</v>
      </c>
      <c r="S144" s="156"/>
      <c r="T144" s="236"/>
      <c r="V144" s="67"/>
      <c r="W144" s="226"/>
      <c r="X144" s="1"/>
      <c r="Y144" s="1"/>
      <c r="Z144" s="299"/>
    </row>
    <row r="145" spans="1:26" ht="24.95" customHeight="1">
      <c r="A145" s="290">
        <v>56</v>
      </c>
      <c r="B145" s="287" t="s">
        <v>619</v>
      </c>
      <c r="C145" s="284" t="s">
        <v>762</v>
      </c>
      <c r="D145" s="156" t="s">
        <v>138</v>
      </c>
      <c r="E145" s="200" t="s">
        <v>716</v>
      </c>
      <c r="F145" s="1"/>
      <c r="G145" s="1" t="s">
        <v>723</v>
      </c>
      <c r="H145" s="1" t="s">
        <v>713</v>
      </c>
      <c r="I145" s="188"/>
      <c r="J145" s="188"/>
      <c r="K145" s="165"/>
      <c r="L145" s="156" t="s">
        <v>608</v>
      </c>
      <c r="M145" s="156"/>
      <c r="N145" s="156" t="s">
        <v>620</v>
      </c>
      <c r="O145" s="157" t="s">
        <v>8</v>
      </c>
      <c r="P145" s="172"/>
      <c r="Q145" s="159" t="s">
        <v>621</v>
      </c>
      <c r="S145" s="156"/>
      <c r="T145" s="236"/>
      <c r="V145" s="67"/>
      <c r="W145" s="226"/>
      <c r="X145" s="1"/>
      <c r="Y145" s="1"/>
      <c r="Z145" s="299"/>
    </row>
    <row r="146" spans="1:26" ht="24.95" customHeight="1">
      <c r="A146" s="290">
        <v>57</v>
      </c>
      <c r="B146" s="287" t="s">
        <v>622</v>
      </c>
      <c r="C146" s="284" t="s">
        <v>467</v>
      </c>
      <c r="D146" s="156" t="s">
        <v>467</v>
      </c>
      <c r="E146" s="200" t="s">
        <v>716</v>
      </c>
      <c r="F146" s="1"/>
      <c r="G146" s="1" t="s">
        <v>723</v>
      </c>
      <c r="H146" s="1" t="s">
        <v>713</v>
      </c>
      <c r="I146" s="188"/>
      <c r="J146" s="188"/>
      <c r="K146" s="165"/>
      <c r="L146" s="156" t="s">
        <v>608</v>
      </c>
      <c r="M146" s="156"/>
      <c r="N146" s="156"/>
      <c r="O146" s="157"/>
      <c r="P146" s="172"/>
      <c r="Q146" s="159"/>
      <c r="S146" s="156"/>
      <c r="T146" s="236"/>
      <c r="V146" s="67"/>
      <c r="W146" s="226"/>
      <c r="X146" s="1"/>
      <c r="Y146" s="1"/>
      <c r="Z146" s="299"/>
    </row>
    <row r="147" spans="1:26" ht="24.95" customHeight="1">
      <c r="A147" s="290">
        <v>58</v>
      </c>
      <c r="B147" s="287" t="s">
        <v>624</v>
      </c>
      <c r="C147" s="284" t="s">
        <v>809</v>
      </c>
      <c r="D147" s="156" t="s">
        <v>467</v>
      </c>
      <c r="E147" s="200" t="s">
        <v>716</v>
      </c>
      <c r="F147" s="1"/>
      <c r="G147" s="1" t="s">
        <v>723</v>
      </c>
      <c r="H147" s="1" t="s">
        <v>713</v>
      </c>
      <c r="I147" s="188"/>
      <c r="J147" s="188"/>
      <c r="K147" s="165"/>
      <c r="L147" s="142" t="s">
        <v>623</v>
      </c>
      <c r="M147" s="200" t="s">
        <v>625</v>
      </c>
      <c r="N147" s="156" t="s">
        <v>626</v>
      </c>
      <c r="O147" s="157" t="s">
        <v>442</v>
      </c>
      <c r="P147" s="172"/>
      <c r="Q147" s="159" t="s">
        <v>627</v>
      </c>
      <c r="S147" s="156"/>
      <c r="T147" s="236"/>
      <c r="V147" s="67"/>
      <c r="W147" s="226"/>
      <c r="X147" s="1"/>
      <c r="Y147" s="1"/>
      <c r="Z147" s="299"/>
    </row>
    <row r="148" spans="1:26" ht="24.95" customHeight="1">
      <c r="A148" s="290">
        <v>59</v>
      </c>
      <c r="B148" s="287" t="s">
        <v>628</v>
      </c>
      <c r="C148" s="284" t="s">
        <v>819</v>
      </c>
      <c r="D148" s="156" t="s">
        <v>467</v>
      </c>
      <c r="E148" s="200" t="s">
        <v>716</v>
      </c>
      <c r="F148" s="1"/>
      <c r="G148" s="1" t="s">
        <v>723</v>
      </c>
      <c r="H148" s="1" t="s">
        <v>713</v>
      </c>
      <c r="I148" s="188"/>
      <c r="J148" s="188"/>
      <c r="K148" s="165"/>
      <c r="L148" s="142" t="s">
        <v>623</v>
      </c>
      <c r="M148" s="200" t="s">
        <v>629</v>
      </c>
      <c r="N148" s="156" t="s">
        <v>630</v>
      </c>
      <c r="O148" s="157" t="s">
        <v>8</v>
      </c>
      <c r="P148" s="172"/>
      <c r="Q148" s="159" t="s">
        <v>631</v>
      </c>
      <c r="S148" s="156"/>
      <c r="T148" s="236"/>
      <c r="V148" s="67"/>
      <c r="W148" s="226"/>
      <c r="X148" s="1"/>
      <c r="Y148" s="1"/>
      <c r="Z148" s="299"/>
    </row>
    <row r="149" spans="1:26" ht="24.95" customHeight="1">
      <c r="A149" s="290">
        <v>60</v>
      </c>
      <c r="B149" s="287" t="s">
        <v>632</v>
      </c>
      <c r="C149" s="284" t="s">
        <v>787</v>
      </c>
      <c r="D149" s="156" t="s">
        <v>161</v>
      </c>
      <c r="E149" s="200" t="s">
        <v>716</v>
      </c>
      <c r="F149" s="1"/>
      <c r="G149" s="1" t="s">
        <v>723</v>
      </c>
      <c r="H149" s="1" t="s">
        <v>713</v>
      </c>
      <c r="I149" s="188"/>
      <c r="J149" s="188"/>
      <c r="K149" s="200" t="s">
        <v>633</v>
      </c>
      <c r="L149" s="142" t="s">
        <v>623</v>
      </c>
      <c r="M149" s="200" t="s">
        <v>625</v>
      </c>
      <c r="N149" s="156" t="s">
        <v>634</v>
      </c>
      <c r="O149" s="157" t="s">
        <v>8</v>
      </c>
      <c r="P149" s="177"/>
      <c r="Q149" s="159" t="s">
        <v>635</v>
      </c>
      <c r="S149" s="156"/>
      <c r="T149" s="236" t="s">
        <v>636</v>
      </c>
      <c r="V149" s="67"/>
      <c r="W149" s="226"/>
      <c r="X149" s="1"/>
      <c r="Y149" s="1"/>
      <c r="Z149" s="299"/>
    </row>
    <row r="150" spans="1:26" ht="24.95" customHeight="1">
      <c r="A150" s="290">
        <v>61</v>
      </c>
      <c r="B150" s="287" t="s">
        <v>637</v>
      </c>
      <c r="C150" s="284" t="s">
        <v>790</v>
      </c>
      <c r="D150" s="156"/>
      <c r="E150" s="200" t="s">
        <v>716</v>
      </c>
      <c r="F150" s="1"/>
      <c r="G150" s="1" t="s">
        <v>723</v>
      </c>
      <c r="H150" s="1" t="s">
        <v>713</v>
      </c>
      <c r="I150" s="188"/>
      <c r="J150" s="188"/>
      <c r="K150" s="165"/>
      <c r="L150" s="142" t="s">
        <v>623</v>
      </c>
      <c r="M150" s="200"/>
      <c r="N150" s="156"/>
      <c r="O150" s="157"/>
      <c r="P150" s="177"/>
      <c r="Q150" s="159"/>
      <c r="S150" s="156"/>
      <c r="T150" s="236"/>
      <c r="V150" s="67"/>
      <c r="W150" s="226"/>
      <c r="X150" s="1"/>
      <c r="Y150" s="1"/>
      <c r="Z150" s="299"/>
    </row>
    <row r="151" spans="1:26" ht="24.95" customHeight="1">
      <c r="A151" s="290">
        <v>62</v>
      </c>
      <c r="B151" s="287" t="s">
        <v>638</v>
      </c>
      <c r="C151" s="284" t="s">
        <v>467</v>
      </c>
      <c r="D151" s="156"/>
      <c r="E151" s="200" t="s">
        <v>716</v>
      </c>
      <c r="F151" s="1"/>
      <c r="G151" s="1" t="s">
        <v>723</v>
      </c>
      <c r="H151" s="1" t="s">
        <v>713</v>
      </c>
      <c r="I151" s="188"/>
      <c r="J151" s="188"/>
      <c r="K151" s="165"/>
      <c r="L151" s="142" t="s">
        <v>623</v>
      </c>
      <c r="M151" s="200" t="s">
        <v>639</v>
      </c>
      <c r="N151" s="156"/>
      <c r="O151" s="157"/>
      <c r="P151" s="177"/>
      <c r="Q151" s="159"/>
      <c r="S151" s="156"/>
      <c r="T151" s="236"/>
      <c r="V151" s="67"/>
      <c r="W151" s="226"/>
      <c r="X151" s="1"/>
      <c r="Y151" s="1"/>
      <c r="Z151" s="299"/>
    </row>
    <row r="152" spans="1:26" ht="24.95" customHeight="1">
      <c r="A152" s="290">
        <v>63</v>
      </c>
      <c r="B152" s="287" t="s">
        <v>640</v>
      </c>
      <c r="C152" s="284" t="s">
        <v>737</v>
      </c>
      <c r="D152" s="156"/>
      <c r="E152" s="200" t="s">
        <v>716</v>
      </c>
      <c r="F152" s="1"/>
      <c r="G152" s="1" t="s">
        <v>723</v>
      </c>
      <c r="H152" s="1" t="s">
        <v>713</v>
      </c>
      <c r="I152" s="188"/>
      <c r="J152" s="188"/>
      <c r="K152" s="165"/>
      <c r="L152" s="142" t="s">
        <v>623</v>
      </c>
      <c r="M152" s="156"/>
      <c r="N152" s="156"/>
      <c r="O152" s="157"/>
      <c r="P152" s="177"/>
      <c r="Q152" s="159"/>
      <c r="S152" s="156"/>
      <c r="T152" s="236"/>
      <c r="V152" s="67"/>
      <c r="W152" s="226"/>
      <c r="X152" s="1"/>
      <c r="Y152" s="1"/>
      <c r="Z152" s="299"/>
    </row>
    <row r="153" spans="1:26" ht="24.95" customHeight="1">
      <c r="A153" s="290">
        <v>64</v>
      </c>
      <c r="B153" s="287" t="s">
        <v>641</v>
      </c>
      <c r="C153" s="284" t="s">
        <v>467</v>
      </c>
      <c r="D153" s="156"/>
      <c r="E153" s="200" t="s">
        <v>716</v>
      </c>
      <c r="F153" s="1"/>
      <c r="G153" s="1" t="s">
        <v>723</v>
      </c>
      <c r="H153" s="1" t="s">
        <v>713</v>
      </c>
      <c r="I153" s="188"/>
      <c r="J153" s="188"/>
      <c r="K153" s="165"/>
      <c r="L153" s="142" t="s">
        <v>623</v>
      </c>
      <c r="M153" s="156"/>
      <c r="N153" s="156"/>
      <c r="O153" s="157"/>
      <c r="P153" s="177"/>
      <c r="Q153" s="159"/>
      <c r="S153" s="156"/>
      <c r="T153" s="236"/>
      <c r="V153" s="67"/>
      <c r="W153" s="226"/>
      <c r="X153" s="1"/>
      <c r="Y153" s="1"/>
      <c r="Z153" s="299"/>
    </row>
    <row r="154" spans="1:26" ht="24.95" customHeight="1">
      <c r="A154" s="290">
        <v>65</v>
      </c>
      <c r="B154" s="287" t="s">
        <v>642</v>
      </c>
      <c r="C154" s="284" t="s">
        <v>467</v>
      </c>
      <c r="D154" s="156"/>
      <c r="E154" s="200" t="s">
        <v>716</v>
      </c>
      <c r="F154" s="1"/>
      <c r="G154" s="1" t="s">
        <v>723</v>
      </c>
      <c r="H154" s="1" t="s">
        <v>713</v>
      </c>
      <c r="I154" s="188"/>
      <c r="J154" s="188"/>
      <c r="K154" s="165"/>
      <c r="L154" s="142" t="s">
        <v>623</v>
      </c>
      <c r="M154" s="200" t="s">
        <v>639</v>
      </c>
      <c r="N154" s="200" t="s">
        <v>643</v>
      </c>
      <c r="O154" s="157" t="s">
        <v>442</v>
      </c>
      <c r="P154" s="177"/>
      <c r="Q154" s="159" t="s">
        <v>644</v>
      </c>
      <c r="S154" s="156"/>
      <c r="T154" s="236"/>
      <c r="V154" s="67"/>
      <c r="W154" s="226"/>
      <c r="X154" s="1"/>
      <c r="Y154" s="1"/>
      <c r="Z154" s="299"/>
    </row>
    <row r="155" spans="1:26" ht="24.95" customHeight="1">
      <c r="A155" s="290">
        <v>66</v>
      </c>
      <c r="B155" s="287" t="s">
        <v>645</v>
      </c>
      <c r="C155" s="284" t="s">
        <v>467</v>
      </c>
      <c r="D155" s="156"/>
      <c r="E155" s="200" t="s">
        <v>716</v>
      </c>
      <c r="F155" s="1"/>
      <c r="G155" s="1" t="s">
        <v>723</v>
      </c>
      <c r="H155" s="1" t="s">
        <v>713</v>
      </c>
      <c r="I155" s="188"/>
      <c r="J155" s="188"/>
      <c r="K155" s="165"/>
      <c r="L155" s="142" t="s">
        <v>623</v>
      </c>
      <c r="M155" s="200" t="s">
        <v>639</v>
      </c>
      <c r="N155" s="200" t="s">
        <v>646</v>
      </c>
      <c r="O155" s="157" t="s">
        <v>647</v>
      </c>
      <c r="P155" s="177"/>
      <c r="Q155" s="159"/>
      <c r="S155" s="156"/>
      <c r="T155" s="236"/>
      <c r="V155" s="67"/>
      <c r="W155" s="226"/>
      <c r="X155" s="1"/>
      <c r="Y155" s="1"/>
      <c r="Z155" s="299"/>
    </row>
    <row r="156" spans="1:26" ht="24.95" customHeight="1">
      <c r="A156" s="296">
        <v>67</v>
      </c>
      <c r="B156" s="287" t="s">
        <v>649</v>
      </c>
      <c r="C156" s="284" t="s">
        <v>818</v>
      </c>
      <c r="D156" s="156" t="s">
        <v>161</v>
      </c>
      <c r="E156" s="200" t="s">
        <v>716</v>
      </c>
      <c r="F156" s="1"/>
      <c r="G156" s="1" t="s">
        <v>723</v>
      </c>
      <c r="H156" s="1" t="s">
        <v>713</v>
      </c>
      <c r="I156" s="188"/>
      <c r="J156" s="188"/>
      <c r="K156" s="165"/>
      <c r="L156" s="142" t="s">
        <v>648</v>
      </c>
      <c r="M156" s="200" t="s">
        <v>650</v>
      </c>
      <c r="N156" s="200" t="s">
        <v>651</v>
      </c>
      <c r="O156" s="157" t="s">
        <v>442</v>
      </c>
      <c r="P156" s="172"/>
      <c r="Q156" s="159" t="s">
        <v>652</v>
      </c>
      <c r="S156" s="156"/>
      <c r="T156" s="236"/>
      <c r="V156" s="67"/>
      <c r="W156" s="226"/>
      <c r="X156" s="1"/>
      <c r="Y156" s="1"/>
      <c r="Z156" s="299"/>
    </row>
    <row r="157" spans="1:26" ht="24.95" customHeight="1">
      <c r="A157" s="290">
        <v>68</v>
      </c>
      <c r="B157" s="287" t="s">
        <v>653</v>
      </c>
      <c r="C157" s="284" t="s">
        <v>817</v>
      </c>
      <c r="D157" s="156" t="s">
        <v>161</v>
      </c>
      <c r="E157" s="200" t="s">
        <v>716</v>
      </c>
      <c r="F157" s="1"/>
      <c r="G157" s="1" t="s">
        <v>723</v>
      </c>
      <c r="H157" s="1" t="s">
        <v>713</v>
      </c>
      <c r="I157" s="188"/>
      <c r="J157" s="188"/>
      <c r="K157" s="165"/>
      <c r="L157" s="142" t="s">
        <v>648</v>
      </c>
      <c r="M157" s="200" t="s">
        <v>650</v>
      </c>
      <c r="N157" s="200" t="s">
        <v>654</v>
      </c>
      <c r="O157" s="157" t="s">
        <v>442</v>
      </c>
      <c r="P157" s="172"/>
      <c r="Q157" s="159" t="s">
        <v>655</v>
      </c>
      <c r="S157" s="156"/>
      <c r="T157" s="236"/>
      <c r="V157" s="67"/>
      <c r="W157" s="226"/>
      <c r="X157" s="1"/>
      <c r="Y157" s="1"/>
      <c r="Z157" s="299"/>
    </row>
    <row r="158" spans="1:26" ht="24.95" customHeight="1">
      <c r="A158" s="290">
        <v>69</v>
      </c>
      <c r="B158" s="287" t="s">
        <v>656</v>
      </c>
      <c r="C158" s="284" t="s">
        <v>467</v>
      </c>
      <c r="D158" s="156" t="s">
        <v>467</v>
      </c>
      <c r="E158" s="200" t="s">
        <v>716</v>
      </c>
      <c r="F158" s="1"/>
      <c r="G158" s="1" t="s">
        <v>723</v>
      </c>
      <c r="H158" s="1" t="s">
        <v>713</v>
      </c>
      <c r="I158" s="188"/>
      <c r="J158" s="188"/>
      <c r="K158" s="165"/>
      <c r="L158" s="142" t="s">
        <v>648</v>
      </c>
      <c r="M158" s="200" t="s">
        <v>650</v>
      </c>
      <c r="N158" s="200" t="s">
        <v>657</v>
      </c>
      <c r="O158" s="165" t="s">
        <v>8</v>
      </c>
      <c r="P158" s="172"/>
      <c r="Q158" s="159" t="s">
        <v>658</v>
      </c>
      <c r="S158" s="156"/>
      <c r="T158" s="236"/>
      <c r="V158" s="67"/>
      <c r="W158" s="226"/>
      <c r="X158" s="1"/>
      <c r="Y158" s="1"/>
      <c r="Z158" s="299"/>
    </row>
    <row r="159" spans="1:26" ht="24.95" customHeight="1">
      <c r="A159" s="290">
        <v>70</v>
      </c>
      <c r="B159" s="287" t="s">
        <v>659</v>
      </c>
      <c r="C159" s="284" t="s">
        <v>803</v>
      </c>
      <c r="D159" s="156" t="s">
        <v>467</v>
      </c>
      <c r="E159" s="200" t="s">
        <v>716</v>
      </c>
      <c r="F159" s="1"/>
      <c r="G159" s="1" t="s">
        <v>723</v>
      </c>
      <c r="H159" s="1" t="s">
        <v>713</v>
      </c>
      <c r="I159" s="188"/>
      <c r="J159" s="188"/>
      <c r="K159" s="165"/>
      <c r="L159" s="142" t="s">
        <v>648</v>
      </c>
      <c r="M159" s="200" t="s">
        <v>650</v>
      </c>
      <c r="N159" s="200" t="s">
        <v>317</v>
      </c>
      <c r="O159" s="165" t="s">
        <v>660</v>
      </c>
      <c r="P159" s="172"/>
      <c r="Q159" s="159" t="s">
        <v>661</v>
      </c>
      <c r="S159" s="156"/>
      <c r="T159" s="236"/>
      <c r="V159" s="67"/>
      <c r="W159" s="226"/>
      <c r="X159" s="1"/>
      <c r="Y159" s="1"/>
      <c r="Z159" s="299"/>
    </row>
    <row r="160" spans="1:26" ht="24.95" customHeight="1">
      <c r="A160" s="290">
        <v>71</v>
      </c>
      <c r="B160" s="289" t="s">
        <v>663</v>
      </c>
      <c r="C160" s="284" t="s">
        <v>764</v>
      </c>
      <c r="D160" s="156" t="s">
        <v>467</v>
      </c>
      <c r="E160" s="200" t="s">
        <v>716</v>
      </c>
      <c r="F160" s="1"/>
      <c r="G160" s="1" t="s">
        <v>723</v>
      </c>
      <c r="H160" s="1" t="s">
        <v>713</v>
      </c>
      <c r="I160" s="188"/>
      <c r="J160" s="188"/>
      <c r="K160" s="165"/>
      <c r="L160" s="142" t="s">
        <v>662</v>
      </c>
      <c r="M160" s="200" t="s">
        <v>664</v>
      </c>
      <c r="N160" s="200" t="s">
        <v>665</v>
      </c>
      <c r="O160" s="157" t="s">
        <v>442</v>
      </c>
      <c r="P160" s="157"/>
      <c r="Q160" s="159" t="s">
        <v>666</v>
      </c>
      <c r="S160" s="165"/>
      <c r="T160" s="179"/>
      <c r="V160" s="67"/>
      <c r="W160" s="226"/>
      <c r="X160" s="1"/>
      <c r="Y160" s="1"/>
      <c r="Z160" s="299"/>
    </row>
    <row r="161" spans="1:26" ht="24.95" customHeight="1">
      <c r="A161" s="290">
        <v>72</v>
      </c>
      <c r="B161" s="286" t="s">
        <v>667</v>
      </c>
      <c r="C161" s="284" t="s">
        <v>467</v>
      </c>
      <c r="D161" s="156" t="s">
        <v>467</v>
      </c>
      <c r="E161" s="200" t="s">
        <v>716</v>
      </c>
      <c r="F161" s="1"/>
      <c r="G161" s="1" t="s">
        <v>723</v>
      </c>
      <c r="H161" s="1" t="s">
        <v>713</v>
      </c>
      <c r="I161" s="188"/>
      <c r="J161" s="188"/>
      <c r="K161" s="165"/>
      <c r="L161" s="142" t="s">
        <v>662</v>
      </c>
      <c r="M161" s="200" t="s">
        <v>668</v>
      </c>
      <c r="N161" s="200" t="s">
        <v>669</v>
      </c>
      <c r="O161" s="157" t="s">
        <v>8</v>
      </c>
      <c r="P161" s="166"/>
      <c r="Q161" s="165" t="s">
        <v>670</v>
      </c>
      <c r="S161" s="167"/>
      <c r="T161" s="167"/>
      <c r="V161" s="67"/>
      <c r="W161" s="226"/>
      <c r="X161" s="1"/>
      <c r="Y161" s="1"/>
      <c r="Z161" s="299"/>
    </row>
    <row r="162" spans="1:26" ht="24.95" customHeight="1">
      <c r="A162" s="290">
        <v>73</v>
      </c>
      <c r="B162" s="286" t="s">
        <v>672</v>
      </c>
      <c r="C162" s="284" t="s">
        <v>771</v>
      </c>
      <c r="D162" s="156" t="s">
        <v>467</v>
      </c>
      <c r="E162" s="200" t="s">
        <v>716</v>
      </c>
      <c r="F162" s="1"/>
      <c r="G162" s="1" t="s">
        <v>723</v>
      </c>
      <c r="H162" s="1" t="s">
        <v>713</v>
      </c>
      <c r="I162" s="188"/>
      <c r="J162" s="188"/>
      <c r="K162" s="165"/>
      <c r="L162" s="142" t="s">
        <v>671</v>
      </c>
      <c r="M162" s="200" t="s">
        <v>673</v>
      </c>
      <c r="N162" s="200" t="s">
        <v>674</v>
      </c>
      <c r="O162" s="157" t="s">
        <v>8</v>
      </c>
      <c r="P162" s="182" t="s">
        <v>675</v>
      </c>
      <c r="Q162" s="165"/>
      <c r="S162" s="156"/>
      <c r="T162" s="236"/>
      <c r="V162" s="67"/>
      <c r="W162" s="226"/>
      <c r="X162" s="1"/>
      <c r="Y162" s="1"/>
      <c r="Z162" s="299"/>
    </row>
    <row r="163" spans="1:26" ht="24.95" customHeight="1">
      <c r="A163" s="290">
        <v>74</v>
      </c>
      <c r="B163" s="289" t="s">
        <v>676</v>
      </c>
      <c r="C163" s="284" t="s">
        <v>467</v>
      </c>
      <c r="D163" s="156" t="s">
        <v>467</v>
      </c>
      <c r="E163" s="200" t="s">
        <v>716</v>
      </c>
      <c r="F163" s="1"/>
      <c r="G163" s="1" t="s">
        <v>723</v>
      </c>
      <c r="H163" s="1" t="s">
        <v>713</v>
      </c>
      <c r="I163" s="188"/>
      <c r="J163" s="188"/>
      <c r="K163" s="165"/>
      <c r="L163" s="142" t="s">
        <v>671</v>
      </c>
      <c r="M163" s="200" t="s">
        <v>677</v>
      </c>
      <c r="N163" s="200"/>
      <c r="O163" s="165"/>
      <c r="P163" s="180"/>
      <c r="Q163" s="181"/>
      <c r="S163" s="156"/>
      <c r="T163" s="236"/>
      <c r="V163" s="67"/>
      <c r="W163" s="226"/>
      <c r="X163" s="1"/>
      <c r="Y163" s="1"/>
      <c r="Z163" s="299"/>
    </row>
    <row r="164" spans="1:26" ht="24.95" customHeight="1">
      <c r="A164" s="290">
        <v>75</v>
      </c>
      <c r="B164" s="287" t="s">
        <v>679</v>
      </c>
      <c r="C164" s="284" t="s">
        <v>794</v>
      </c>
      <c r="D164" s="156" t="s">
        <v>467</v>
      </c>
      <c r="E164" s="200" t="s">
        <v>716</v>
      </c>
      <c r="F164" s="1"/>
      <c r="G164" s="1" t="s">
        <v>723</v>
      </c>
      <c r="H164" s="1" t="s">
        <v>713</v>
      </c>
      <c r="I164" s="188"/>
      <c r="J164" s="188"/>
      <c r="K164" s="165"/>
      <c r="L164" s="142" t="s">
        <v>678</v>
      </c>
      <c r="M164" s="200" t="s">
        <v>680</v>
      </c>
      <c r="N164" s="200" t="s">
        <v>681</v>
      </c>
      <c r="O164" s="176" t="s">
        <v>682</v>
      </c>
      <c r="P164" s="172"/>
      <c r="Q164" s="159"/>
      <c r="S164" s="156"/>
      <c r="T164" s="236"/>
      <c r="V164" s="67"/>
      <c r="W164" s="226"/>
      <c r="X164" s="1"/>
      <c r="Y164" s="1"/>
      <c r="Z164" s="299"/>
    </row>
    <row r="165" spans="1:26" ht="24.95" customHeight="1">
      <c r="A165" s="290">
        <v>76</v>
      </c>
      <c r="B165" s="287" t="s">
        <v>683</v>
      </c>
      <c r="C165" s="284" t="s">
        <v>816</v>
      </c>
      <c r="D165" s="156" t="s">
        <v>161</v>
      </c>
      <c r="E165" s="200" t="s">
        <v>716</v>
      </c>
      <c r="F165" s="1"/>
      <c r="G165" s="1" t="s">
        <v>723</v>
      </c>
      <c r="H165" s="1" t="s">
        <v>713</v>
      </c>
      <c r="I165" s="188"/>
      <c r="J165" s="188"/>
      <c r="K165" s="165" t="s">
        <v>684</v>
      </c>
      <c r="L165" s="142" t="s">
        <v>678</v>
      </c>
      <c r="M165" s="200" t="s">
        <v>685</v>
      </c>
      <c r="N165" s="200" t="s">
        <v>686</v>
      </c>
      <c r="O165" s="165" t="s">
        <v>430</v>
      </c>
      <c r="P165" s="177"/>
      <c r="Q165" s="177" t="s">
        <v>687</v>
      </c>
      <c r="S165" s="156"/>
      <c r="T165" s="241" t="s">
        <v>688</v>
      </c>
      <c r="V165" s="67"/>
      <c r="W165" s="226"/>
      <c r="X165" s="1"/>
      <c r="Y165" s="1"/>
      <c r="Z165" s="299"/>
    </row>
    <row r="166" spans="1:26" ht="24.95" customHeight="1">
      <c r="A166" s="290">
        <v>77</v>
      </c>
      <c r="B166" s="289" t="s">
        <v>690</v>
      </c>
      <c r="C166" s="284" t="s">
        <v>760</v>
      </c>
      <c r="D166" s="156" t="s">
        <v>467</v>
      </c>
      <c r="E166" s="200" t="s">
        <v>716</v>
      </c>
      <c r="F166" s="1"/>
      <c r="G166" s="1" t="s">
        <v>723</v>
      </c>
      <c r="H166" s="1" t="s">
        <v>713</v>
      </c>
      <c r="I166" s="188"/>
      <c r="J166" s="188"/>
      <c r="K166" s="165"/>
      <c r="L166" s="142" t="s">
        <v>689</v>
      </c>
      <c r="M166" s="200" t="s">
        <v>691</v>
      </c>
      <c r="N166" s="200" t="s">
        <v>692</v>
      </c>
      <c r="O166" s="165" t="s">
        <v>8</v>
      </c>
      <c r="P166" s="172"/>
      <c r="Q166" s="159" t="s">
        <v>693</v>
      </c>
      <c r="S166" s="156"/>
      <c r="T166" s="236"/>
      <c r="V166" s="67"/>
      <c r="W166" s="226"/>
      <c r="X166" s="1"/>
      <c r="Y166" s="1"/>
      <c r="Z166" s="299"/>
    </row>
    <row r="167" spans="1:26" ht="24.95" customHeight="1">
      <c r="A167" s="290">
        <v>78</v>
      </c>
      <c r="B167" s="287" t="s">
        <v>695</v>
      </c>
      <c r="C167" s="284" t="s">
        <v>815</v>
      </c>
      <c r="D167" s="156" t="s">
        <v>161</v>
      </c>
      <c r="E167" s="200" t="s">
        <v>716</v>
      </c>
      <c r="F167" s="1"/>
      <c r="G167" s="1" t="s">
        <v>723</v>
      </c>
      <c r="H167" s="1" t="s">
        <v>713</v>
      </c>
      <c r="I167" s="188"/>
      <c r="J167" s="188"/>
      <c r="K167" s="165" t="s">
        <v>696</v>
      </c>
      <c r="L167" s="142" t="s">
        <v>694</v>
      </c>
      <c r="M167" s="200" t="s">
        <v>697</v>
      </c>
      <c r="N167" s="200" t="s">
        <v>698</v>
      </c>
      <c r="O167" s="165" t="s">
        <v>430</v>
      </c>
      <c r="P167" s="238"/>
      <c r="Q167" s="177" t="s">
        <v>699</v>
      </c>
      <c r="S167" s="156"/>
      <c r="T167" s="241" t="s">
        <v>700</v>
      </c>
      <c r="V167" s="67"/>
      <c r="W167" s="226"/>
      <c r="X167" s="1"/>
      <c r="Y167" s="1"/>
      <c r="Z167" s="299"/>
    </row>
    <row r="168" spans="1:26" ht="24.6" customHeight="1">
      <c r="A168" s="290">
        <v>79</v>
      </c>
      <c r="B168" s="287" t="s">
        <v>701</v>
      </c>
      <c r="C168" s="284" t="s">
        <v>767</v>
      </c>
      <c r="D168" s="156" t="s">
        <v>161</v>
      </c>
      <c r="E168" s="200" t="s">
        <v>716</v>
      </c>
      <c r="F168" s="1"/>
      <c r="G168" s="1" t="s">
        <v>723</v>
      </c>
      <c r="H168" s="1" t="s">
        <v>713</v>
      </c>
      <c r="I168" s="188"/>
      <c r="J168" s="188"/>
      <c r="K168" s="165" t="s">
        <v>456</v>
      </c>
      <c r="L168" s="142" t="s">
        <v>694</v>
      </c>
      <c r="M168" s="200" t="s">
        <v>702</v>
      </c>
      <c r="N168" s="200" t="s">
        <v>703</v>
      </c>
      <c r="O168" s="165" t="s">
        <v>430</v>
      </c>
      <c r="P168" s="175"/>
      <c r="Q168" s="175" t="s">
        <v>704</v>
      </c>
      <c r="S168" s="156"/>
      <c r="T168" s="241" t="s">
        <v>705</v>
      </c>
      <c r="V168" s="67"/>
      <c r="W168" s="226"/>
      <c r="X168" s="1"/>
      <c r="Y168" s="1"/>
      <c r="Z168" s="299"/>
    </row>
  </sheetData>
  <mergeCells count="1">
    <mergeCell ref="A1:B1"/>
  </mergeCells>
  <dataValidations count="1">
    <dataValidation type="list" allowBlank="1" showInputMessage="1" showErrorMessage="1" sqref="E3:E168" xr:uid="{926995B9-510B-4A63-B0EB-7B090D39FFA0}">
      <formula1>"ฐานโอนย้าย,ฐานข้อมูลรายใหม่,ฐานข้อมูลรายเดิม"</formula1>
    </dataValidation>
  </dataValidations>
  <hyperlinks>
    <hyperlink ref="T15" r:id="rId1" xr:uid="{00000000-0004-0000-0000-000000000000}"/>
    <hyperlink ref="T11" r:id="rId2" xr:uid="{00000000-0004-0000-0000-000001000000}"/>
    <hyperlink ref="T38" r:id="rId3" xr:uid="{A3D101F0-EABA-45B6-94E3-6E626FE7C8C5}"/>
    <hyperlink ref="T39" r:id="rId4" xr:uid="{7067B6B3-3F84-4F6F-A460-5FFEFD46ED7D}"/>
    <hyperlink ref="T40" r:id="rId5" xr:uid="{AAD039A7-6D95-4957-8B9A-C052DAC0D2F4}"/>
    <hyperlink ref="T66" r:id="rId6" xr:uid="{380213EF-2500-4A59-B332-E6C312DB1AD2}"/>
    <hyperlink ref="T53" r:id="rId7" xr:uid="{DAC5E0DD-8C96-41C9-ADF4-BD96E57ED88C}"/>
    <hyperlink ref="T86" r:id="rId8" xr:uid="{ED2A0A8F-BC35-497E-B4BE-9075E1E43BDD}"/>
    <hyperlink ref="T87" r:id="rId9" xr:uid="{96F2DB06-32FA-4A5C-ACA0-00E7574D8DEE}"/>
    <hyperlink ref="T88" r:id="rId10" xr:uid="{E0D058E8-A292-4CA3-9EEB-CE2431AFBFD2}"/>
    <hyperlink ref="T89" r:id="rId11" xr:uid="{3FCF333A-D106-4ED3-8A80-40E431322772}"/>
    <hyperlink ref="T90" r:id="rId12" xr:uid="{AFD31DC9-612C-4E69-A23A-BBEF043A930D}"/>
    <hyperlink ref="T91" r:id="rId13" xr:uid="{F695C6AB-C697-4F5D-838D-FB0D6CCCE749}"/>
    <hyperlink ref="T92" r:id="rId14" xr:uid="{7DAC2521-6701-4A24-9585-8C931AD6092B}"/>
    <hyperlink ref="T167" r:id="rId15" xr:uid="{6CDAA95E-029A-432D-BD80-A6C878E680D7}"/>
    <hyperlink ref="T149" r:id="rId16" xr:uid="{12A34DE8-B5BA-407D-95D2-2287F288722F}"/>
    <hyperlink ref="T165" r:id="rId17" xr:uid="{9C03C840-4AB5-41A8-836C-028E003B28D8}"/>
    <hyperlink ref="T123" r:id="rId18" xr:uid="{360A23AC-C577-4E57-ABBA-CADE64047B71}"/>
    <hyperlink ref="T133" r:id="rId19" xr:uid="{AA5317CC-6F33-41A9-92C7-6F0C73513596}"/>
    <hyperlink ref="T135" r:id="rId20" xr:uid="{576F99D1-4E6C-4B9E-8A06-D0236D7BE1C8}"/>
  </hyperlinks>
  <pageMargins left="0.11811023622047245" right="7.874015748031496E-2" top="0.62992125984251968" bottom="0.59055118110236227" header="0.31496062992125984" footer="0.31496062992125984"/>
  <pageSetup paperSize="9" scale="60" orientation="landscape" r:id="rId21"/>
  <tableParts count="1">
    <tablePart r:id="rId2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189D3-D696-405E-A6A3-5A59DD36CF7E}">
  <dimension ref="A1:BA2"/>
  <sheetViews>
    <sheetView workbookViewId="0">
      <selection activeCell="D21" sqref="D21"/>
    </sheetView>
  </sheetViews>
  <sheetFormatPr defaultColWidth="9.140625" defaultRowHeight="12.75"/>
  <cols>
    <col min="1" max="1" width="5.140625" style="260" bestFit="1" customWidth="1"/>
    <col min="2" max="2" width="48.5703125" style="260" customWidth="1"/>
    <col min="3" max="3" width="12.140625" style="260" customWidth="1"/>
    <col min="4" max="4" width="10.7109375" style="260" customWidth="1"/>
    <col min="5" max="5" width="15.85546875" style="260" customWidth="1"/>
    <col min="6" max="6" width="12.140625" style="260" customWidth="1"/>
    <col min="7" max="7" width="8.140625" style="260" customWidth="1"/>
    <col min="8" max="8" width="7.140625" style="260" customWidth="1"/>
    <col min="9" max="9" width="11.42578125" style="260" customWidth="1"/>
    <col min="10" max="10" width="11.5703125" style="260" customWidth="1"/>
    <col min="11" max="11" width="20.7109375" style="260" customWidth="1"/>
    <col min="12" max="12" width="27.140625" style="260" customWidth="1"/>
    <col min="13" max="13" width="22.140625" style="260" customWidth="1"/>
    <col min="14" max="14" width="29.42578125" style="260" customWidth="1"/>
    <col min="15" max="15" width="22.7109375" style="260" customWidth="1"/>
    <col min="16" max="16" width="17.42578125" style="272" customWidth="1"/>
    <col min="17" max="17" width="21.140625" style="260" customWidth="1"/>
    <col min="18" max="18" width="14" style="260" hidden="1" customWidth="1"/>
    <col min="19" max="19" width="14" style="260" customWidth="1"/>
    <col min="20" max="20" width="43.42578125" style="272" customWidth="1"/>
    <col min="21" max="21" width="15.28515625" style="273" hidden="1" customWidth="1"/>
    <col min="22" max="22" width="65.28515625" style="259" customWidth="1"/>
    <col min="23" max="25" width="16" style="259" customWidth="1"/>
    <col min="26" max="26" width="13.140625" style="274" customWidth="1"/>
    <col min="27" max="53" width="9.140625" style="259"/>
    <col min="54" max="16384" width="9.140625" style="260"/>
  </cols>
  <sheetData>
    <row r="1" spans="1:27" ht="39" customHeight="1">
      <c r="A1" s="252" t="s">
        <v>7</v>
      </c>
      <c r="B1" s="253"/>
      <c r="C1" s="253"/>
      <c r="D1" s="254"/>
      <c r="E1" s="253"/>
      <c r="F1" s="253"/>
      <c r="G1" s="254"/>
      <c r="H1" s="255"/>
      <c r="I1" s="254"/>
      <c r="J1" s="254"/>
      <c r="K1" s="254"/>
      <c r="L1" s="254"/>
      <c r="M1" s="254"/>
      <c r="N1" s="255"/>
      <c r="O1" s="254"/>
      <c r="P1" s="255"/>
      <c r="Q1" s="256"/>
      <c r="R1" s="256"/>
      <c r="S1" s="256"/>
      <c r="T1" s="256"/>
      <c r="U1" s="257"/>
      <c r="V1" s="254"/>
      <c r="W1" s="254"/>
      <c r="X1" s="254"/>
      <c r="Y1" s="254"/>
      <c r="Z1" s="258"/>
    </row>
    <row r="2" spans="1:27" s="259" customFormat="1" ht="57" customHeight="1">
      <c r="A2" s="261" t="s">
        <v>725</v>
      </c>
      <c r="B2" s="262" t="s">
        <v>9</v>
      </c>
      <c r="C2" s="263" t="s">
        <v>710</v>
      </c>
      <c r="D2" s="264" t="s">
        <v>715</v>
      </c>
      <c r="E2" s="263" t="s">
        <v>714</v>
      </c>
      <c r="F2" s="263" t="s">
        <v>711</v>
      </c>
      <c r="G2" s="265" t="s">
        <v>709</v>
      </c>
      <c r="H2" s="265" t="s">
        <v>712</v>
      </c>
      <c r="I2" s="266" t="s">
        <v>727</v>
      </c>
      <c r="J2" s="266" t="s">
        <v>728</v>
      </c>
      <c r="K2" s="275" t="s">
        <v>14</v>
      </c>
      <c r="L2" s="264" t="s">
        <v>15</v>
      </c>
      <c r="M2" s="275" t="s">
        <v>724</v>
      </c>
      <c r="N2" s="266" t="s">
        <v>18</v>
      </c>
      <c r="O2" s="275" t="s">
        <v>17</v>
      </c>
      <c r="P2" s="276" t="s">
        <v>3</v>
      </c>
      <c r="Q2" s="277" t="s">
        <v>4</v>
      </c>
      <c r="R2" s="277" t="s">
        <v>5</v>
      </c>
      <c r="S2" s="277" t="s">
        <v>718</v>
      </c>
      <c r="T2" s="276" t="s">
        <v>0</v>
      </c>
      <c r="U2" s="267"/>
      <c r="V2" s="268" t="s">
        <v>19</v>
      </c>
      <c r="W2" s="269" t="s">
        <v>719</v>
      </c>
      <c r="X2" s="261" t="s">
        <v>720</v>
      </c>
      <c r="Y2" s="261" t="s">
        <v>721</v>
      </c>
      <c r="Z2" s="270" t="s">
        <v>722</v>
      </c>
      <c r="AA2" s="27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78B0-5E10-439F-992D-5F52F488088E}">
  <dimension ref="A1:AO75"/>
  <sheetViews>
    <sheetView workbookViewId="0">
      <selection activeCell="F10" sqref="F10"/>
    </sheetView>
  </sheetViews>
  <sheetFormatPr defaultColWidth="7.85546875" defaultRowHeight="12.75"/>
  <cols>
    <col min="1" max="1" width="6.5703125" style="1" customWidth="1"/>
    <col min="2" max="2" width="46.28515625" style="4" bestFit="1" customWidth="1"/>
    <col min="3" max="3" width="11.5703125" style="3" customWidth="1"/>
    <col min="4" max="4" width="22" style="2" hidden="1" customWidth="1"/>
    <col min="5" max="5" width="13.28515625" style="3" customWidth="1"/>
    <col min="6" max="6" width="18.28515625" style="2" customWidth="1"/>
    <col min="7" max="7" width="28.85546875" style="4" bestFit="1" customWidth="1"/>
    <col min="8" max="8" width="10.5703125" style="4" bestFit="1" customWidth="1"/>
    <col min="9" max="9" width="19.28515625" style="5" bestFit="1" customWidth="1"/>
    <col min="10" max="10" width="13.42578125" style="6" bestFit="1" customWidth="1"/>
    <col min="11" max="11" width="11.7109375" style="1" bestFit="1" customWidth="1"/>
    <col min="12" max="12" width="42.28515625" style="7" bestFit="1" customWidth="1"/>
    <col min="13" max="13" width="83.28515625" style="8" bestFit="1" customWidth="1"/>
    <col min="14" max="14" width="97.7109375" style="14" bestFit="1" customWidth="1"/>
    <col min="15" max="41" width="7.85546875" style="14"/>
    <col min="42" max="16384" width="7.85546875" style="2"/>
  </cols>
  <sheetData>
    <row r="1" spans="1:41">
      <c r="B1" s="2"/>
    </row>
    <row r="2" spans="1:41" s="27" customFormat="1" ht="15.75">
      <c r="A2" s="21"/>
      <c r="B2" s="22"/>
      <c r="C2" s="23"/>
      <c r="D2" s="317" t="s">
        <v>7</v>
      </c>
      <c r="E2" s="317"/>
      <c r="F2" s="318"/>
      <c r="G2" s="321" t="s">
        <v>115</v>
      </c>
      <c r="H2" s="321"/>
      <c r="I2" s="322" t="s">
        <v>116</v>
      </c>
      <c r="J2" s="322"/>
      <c r="K2" s="322"/>
      <c r="L2" s="322"/>
      <c r="M2" s="24"/>
      <c r="N2" s="25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</row>
    <row r="3" spans="1:41" s="27" customFormat="1" ht="15.75">
      <c r="A3" s="28"/>
      <c r="B3" s="29" t="s">
        <v>2</v>
      </c>
      <c r="C3" s="30"/>
      <c r="D3" s="319"/>
      <c r="E3" s="319"/>
      <c r="F3" s="320"/>
      <c r="G3" s="321"/>
      <c r="H3" s="321"/>
      <c r="I3" s="322"/>
      <c r="J3" s="322"/>
      <c r="K3" s="322"/>
      <c r="L3" s="322"/>
      <c r="M3" s="24"/>
      <c r="N3" s="25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</row>
    <row r="4" spans="1:41" s="33" customFormat="1">
      <c r="A4" s="313" t="s">
        <v>1</v>
      </c>
      <c r="B4" s="323" t="s">
        <v>9</v>
      </c>
      <c r="C4" s="323" t="s">
        <v>117</v>
      </c>
      <c r="D4" s="324" t="s">
        <v>118</v>
      </c>
      <c r="E4" s="312" t="s">
        <v>14</v>
      </c>
      <c r="F4" s="312" t="s">
        <v>15</v>
      </c>
      <c r="G4" s="31" t="s">
        <v>18</v>
      </c>
      <c r="H4" s="312" t="s">
        <v>17</v>
      </c>
      <c r="I4" s="312" t="s">
        <v>6</v>
      </c>
      <c r="J4" s="312"/>
      <c r="K4" s="312"/>
      <c r="L4" s="312"/>
      <c r="M4" s="32"/>
      <c r="N4" s="313" t="s">
        <v>19</v>
      </c>
    </row>
    <row r="5" spans="1:41" s="33" customFormat="1" ht="38.25">
      <c r="A5" s="313"/>
      <c r="B5" s="323"/>
      <c r="C5" s="323"/>
      <c r="D5" s="325"/>
      <c r="E5" s="326"/>
      <c r="F5" s="312"/>
      <c r="G5" s="35" t="s">
        <v>16</v>
      </c>
      <c r="H5" s="326"/>
      <c r="I5" s="31" t="s">
        <v>3</v>
      </c>
      <c r="J5" s="34" t="s">
        <v>4</v>
      </c>
      <c r="K5" s="34" t="s">
        <v>5</v>
      </c>
      <c r="L5" s="31" t="s">
        <v>0</v>
      </c>
      <c r="M5" s="32"/>
      <c r="N5" s="313"/>
    </row>
    <row r="6" spans="1:41" s="44" customFormat="1" ht="18.75" thickBot="1">
      <c r="A6" s="36"/>
      <c r="B6" s="37"/>
      <c r="C6" s="37"/>
      <c r="D6" s="38"/>
      <c r="E6" s="39"/>
      <c r="F6" s="40"/>
      <c r="G6" s="41"/>
      <c r="H6" s="42"/>
      <c r="I6" s="40"/>
      <c r="J6" s="42"/>
      <c r="K6" s="39"/>
      <c r="L6" s="40"/>
      <c r="M6" s="43"/>
      <c r="N6" s="36"/>
    </row>
    <row r="7" spans="1:41">
      <c r="A7" s="45">
        <v>1</v>
      </c>
      <c r="B7" s="46" t="s">
        <v>119</v>
      </c>
      <c r="C7" s="47" t="s">
        <v>120</v>
      </c>
      <c r="D7" s="48" t="s">
        <v>121</v>
      </c>
      <c r="E7" s="49" t="s">
        <v>122</v>
      </c>
      <c r="F7" s="49" t="s">
        <v>123</v>
      </c>
      <c r="G7" s="46" t="s">
        <v>124</v>
      </c>
      <c r="H7" s="50" t="s">
        <v>125</v>
      </c>
      <c r="I7" s="51" t="s">
        <v>126</v>
      </c>
      <c r="J7" s="52" t="s">
        <v>127</v>
      </c>
      <c r="K7" s="53"/>
      <c r="L7" s="54" t="s">
        <v>128</v>
      </c>
      <c r="M7" s="55" t="s">
        <v>129</v>
      </c>
      <c r="N7" s="56" t="s">
        <v>129</v>
      </c>
      <c r="O7" s="57"/>
    </row>
    <row r="8" spans="1:41">
      <c r="A8" s="58">
        <v>2</v>
      </c>
      <c r="B8" s="59" t="s">
        <v>130</v>
      </c>
      <c r="C8" s="60" t="s">
        <v>120</v>
      </c>
      <c r="D8" s="61" t="s">
        <v>131</v>
      </c>
      <c r="E8" s="3" t="s">
        <v>132</v>
      </c>
      <c r="F8" s="3" t="s">
        <v>123</v>
      </c>
      <c r="G8" s="4" t="s">
        <v>133</v>
      </c>
      <c r="H8" s="62" t="s">
        <v>134</v>
      </c>
      <c r="I8" s="6" t="s">
        <v>135</v>
      </c>
      <c r="L8" s="63"/>
      <c r="M8" s="8" t="s">
        <v>136</v>
      </c>
      <c r="N8" s="64" t="s">
        <v>136</v>
      </c>
      <c r="O8" s="57"/>
    </row>
    <row r="9" spans="1:41" s="14" customFormat="1">
      <c r="A9" s="58">
        <v>3</v>
      </c>
      <c r="B9" s="65" t="s">
        <v>137</v>
      </c>
      <c r="C9" s="60" t="s">
        <v>138</v>
      </c>
      <c r="D9" s="61" t="s">
        <v>139</v>
      </c>
      <c r="E9" s="66" t="s">
        <v>140</v>
      </c>
      <c r="F9" s="66" t="s">
        <v>123</v>
      </c>
      <c r="G9" s="65" t="s">
        <v>141</v>
      </c>
      <c r="H9" s="62" t="s">
        <v>125</v>
      </c>
      <c r="I9" s="67" t="s">
        <v>142</v>
      </c>
      <c r="J9" s="67" t="s">
        <v>143</v>
      </c>
      <c r="K9" s="68" t="s">
        <v>144</v>
      </c>
      <c r="L9" s="69" t="s">
        <v>145</v>
      </c>
      <c r="M9" s="70" t="s">
        <v>146</v>
      </c>
      <c r="N9" s="64" t="s">
        <v>146</v>
      </c>
      <c r="O9" s="57"/>
    </row>
    <row r="10" spans="1:41">
      <c r="A10" s="58">
        <v>4</v>
      </c>
      <c r="B10" s="4" t="s">
        <v>147</v>
      </c>
      <c r="C10" s="60" t="s">
        <v>120</v>
      </c>
      <c r="D10" s="61" t="s">
        <v>131</v>
      </c>
      <c r="E10" s="3" t="s">
        <v>122</v>
      </c>
      <c r="F10" s="3" t="s">
        <v>123</v>
      </c>
      <c r="G10" s="4" t="s">
        <v>148</v>
      </c>
      <c r="H10" s="62" t="s">
        <v>134</v>
      </c>
      <c r="I10" s="6" t="s">
        <v>149</v>
      </c>
      <c r="J10" s="6" t="s">
        <v>150</v>
      </c>
      <c r="L10" s="71" t="s">
        <v>151</v>
      </c>
      <c r="M10" s="8" t="s">
        <v>152</v>
      </c>
      <c r="N10" s="64" t="s">
        <v>152</v>
      </c>
      <c r="O10" s="57"/>
    </row>
    <row r="11" spans="1:41">
      <c r="A11" s="58">
        <v>5</v>
      </c>
      <c r="B11" s="4" t="s">
        <v>153</v>
      </c>
      <c r="C11" s="3" t="s">
        <v>120</v>
      </c>
      <c r="D11" s="61" t="s">
        <v>131</v>
      </c>
      <c r="E11" s="3" t="s">
        <v>154</v>
      </c>
      <c r="F11" s="3" t="s">
        <v>123</v>
      </c>
      <c r="G11" s="4" t="s">
        <v>155</v>
      </c>
      <c r="H11" s="4" t="s">
        <v>125</v>
      </c>
      <c r="I11" s="5" t="s">
        <v>156</v>
      </c>
      <c r="J11" s="6" t="s">
        <v>157</v>
      </c>
      <c r="L11" s="7" t="s">
        <v>158</v>
      </c>
      <c r="M11" s="8" t="s">
        <v>159</v>
      </c>
      <c r="N11" s="64" t="s">
        <v>159</v>
      </c>
      <c r="O11" s="57"/>
    </row>
    <row r="12" spans="1:41">
      <c r="A12" s="58">
        <v>6</v>
      </c>
      <c r="B12" s="17" t="s">
        <v>160</v>
      </c>
      <c r="C12" s="72" t="s">
        <v>161</v>
      </c>
      <c r="D12" s="61" t="s">
        <v>162</v>
      </c>
      <c r="E12" s="1" t="s">
        <v>163</v>
      </c>
      <c r="F12" s="1" t="s">
        <v>123</v>
      </c>
      <c r="G12" s="17" t="s">
        <v>164</v>
      </c>
      <c r="H12" s="73" t="s">
        <v>134</v>
      </c>
      <c r="I12" s="17"/>
      <c r="J12" s="6" t="s">
        <v>165</v>
      </c>
      <c r="K12" s="6" t="s">
        <v>166</v>
      </c>
      <c r="L12" s="74"/>
      <c r="M12" s="75" t="s">
        <v>167</v>
      </c>
      <c r="N12" s="76" t="s">
        <v>167</v>
      </c>
      <c r="O12" s="57"/>
    </row>
    <row r="13" spans="1:41">
      <c r="A13" s="58">
        <v>7</v>
      </c>
      <c r="B13" s="17" t="s">
        <v>168</v>
      </c>
      <c r="C13" s="72" t="s">
        <v>120</v>
      </c>
      <c r="D13" s="61" t="s">
        <v>169</v>
      </c>
      <c r="E13" s="1" t="s">
        <v>154</v>
      </c>
      <c r="F13" s="1" t="s">
        <v>123</v>
      </c>
      <c r="G13" s="17" t="s">
        <v>170</v>
      </c>
      <c r="H13" s="73" t="s">
        <v>125</v>
      </c>
      <c r="I13" s="17"/>
      <c r="J13" s="6" t="s">
        <v>171</v>
      </c>
      <c r="K13" s="6" t="s">
        <v>172</v>
      </c>
      <c r="L13" s="77" t="s">
        <v>173</v>
      </c>
      <c r="M13" s="75" t="s">
        <v>174</v>
      </c>
      <c r="N13" s="76" t="s">
        <v>174</v>
      </c>
      <c r="O13" s="57"/>
    </row>
    <row r="14" spans="1:41">
      <c r="A14" s="58">
        <v>8</v>
      </c>
      <c r="B14" s="17" t="s">
        <v>175</v>
      </c>
      <c r="C14" s="72" t="s">
        <v>176</v>
      </c>
      <c r="D14" s="61" t="s">
        <v>131</v>
      </c>
      <c r="E14" s="1" t="s">
        <v>154</v>
      </c>
      <c r="F14" s="1" t="s">
        <v>123</v>
      </c>
      <c r="G14" s="17" t="s">
        <v>177</v>
      </c>
      <c r="H14" s="73" t="s">
        <v>125</v>
      </c>
      <c r="I14" s="17"/>
      <c r="J14" s="6" t="s">
        <v>178</v>
      </c>
      <c r="K14" s="6"/>
      <c r="L14" s="78" t="s">
        <v>179</v>
      </c>
      <c r="M14" s="75" t="s">
        <v>180</v>
      </c>
      <c r="N14" s="76" t="s">
        <v>180</v>
      </c>
      <c r="O14" s="57"/>
    </row>
    <row r="15" spans="1:41">
      <c r="A15" s="58">
        <v>9</v>
      </c>
      <c r="B15" s="79" t="s">
        <v>181</v>
      </c>
      <c r="C15" s="80" t="s">
        <v>176</v>
      </c>
      <c r="D15" s="61" t="s">
        <v>182</v>
      </c>
      <c r="E15" s="81" t="s">
        <v>183</v>
      </c>
      <c r="F15" s="1" t="s">
        <v>123</v>
      </c>
      <c r="G15" s="82" t="s">
        <v>184</v>
      </c>
      <c r="H15" s="73" t="s">
        <v>125</v>
      </c>
      <c r="I15" s="82"/>
      <c r="J15" s="83" t="s">
        <v>185</v>
      </c>
      <c r="K15" s="83"/>
      <c r="L15" s="84" t="s">
        <v>186</v>
      </c>
      <c r="M15" s="85" t="s">
        <v>187</v>
      </c>
      <c r="N15" s="86" t="s">
        <v>187</v>
      </c>
      <c r="O15" s="87"/>
      <c r="P15" s="57"/>
    </row>
    <row r="16" spans="1:41">
      <c r="A16" s="58"/>
      <c r="B16" s="79" t="s">
        <v>188</v>
      </c>
      <c r="C16" s="80" t="s">
        <v>161</v>
      </c>
      <c r="D16" s="61" t="s">
        <v>182</v>
      </c>
      <c r="E16" s="1" t="s">
        <v>154</v>
      </c>
      <c r="F16" s="1" t="s">
        <v>123</v>
      </c>
      <c r="G16" s="88" t="s">
        <v>189</v>
      </c>
      <c r="H16" s="73" t="s">
        <v>125</v>
      </c>
      <c r="I16" s="82"/>
      <c r="J16" s="83" t="s">
        <v>190</v>
      </c>
      <c r="K16" s="83"/>
      <c r="L16" s="84" t="s">
        <v>191</v>
      </c>
      <c r="M16" s="85" t="s">
        <v>192</v>
      </c>
      <c r="N16" s="86" t="s">
        <v>187</v>
      </c>
      <c r="O16" s="87"/>
      <c r="P16" s="57"/>
    </row>
    <row r="17" spans="1:16">
      <c r="A17" s="58"/>
      <c r="B17" s="79" t="s">
        <v>193</v>
      </c>
      <c r="C17" s="80" t="s">
        <v>176</v>
      </c>
      <c r="D17" s="61" t="s">
        <v>182</v>
      </c>
      <c r="E17" s="1" t="s">
        <v>154</v>
      </c>
      <c r="F17" s="1" t="s">
        <v>123</v>
      </c>
      <c r="G17" s="82" t="s">
        <v>194</v>
      </c>
      <c r="H17" s="73" t="s">
        <v>125</v>
      </c>
      <c r="I17" s="82"/>
      <c r="J17" s="83" t="s">
        <v>185</v>
      </c>
      <c r="K17" s="83"/>
      <c r="L17" s="84" t="s">
        <v>195</v>
      </c>
      <c r="M17" s="85" t="s">
        <v>192</v>
      </c>
      <c r="N17" s="86" t="s">
        <v>187</v>
      </c>
      <c r="O17" s="87"/>
      <c r="P17" s="57"/>
    </row>
    <row r="18" spans="1:16">
      <c r="A18" s="58">
        <v>10</v>
      </c>
      <c r="B18" s="79" t="s">
        <v>196</v>
      </c>
      <c r="C18" s="80" t="s">
        <v>176</v>
      </c>
      <c r="D18" s="89" t="s">
        <v>197</v>
      </c>
      <c r="E18" s="81" t="s">
        <v>122</v>
      </c>
      <c r="F18" s="1" t="s">
        <v>123</v>
      </c>
      <c r="G18" s="82" t="s">
        <v>198</v>
      </c>
      <c r="H18" s="73" t="s">
        <v>125</v>
      </c>
      <c r="I18" s="82"/>
      <c r="J18" s="83" t="s">
        <v>199</v>
      </c>
      <c r="K18" s="83"/>
      <c r="L18" s="90"/>
      <c r="M18" s="85" t="s">
        <v>200</v>
      </c>
      <c r="N18" s="86" t="s">
        <v>200</v>
      </c>
      <c r="O18" s="87"/>
      <c r="P18" s="57"/>
    </row>
    <row r="19" spans="1:16">
      <c r="A19" s="58">
        <v>11</v>
      </c>
      <c r="B19" s="79" t="s">
        <v>201</v>
      </c>
      <c r="C19" s="80" t="s">
        <v>176</v>
      </c>
      <c r="D19" s="61" t="s">
        <v>131</v>
      </c>
      <c r="E19" s="81" t="s">
        <v>202</v>
      </c>
      <c r="F19" s="1" t="s">
        <v>123</v>
      </c>
      <c r="G19" s="88" t="s">
        <v>203</v>
      </c>
      <c r="H19" s="73" t="s">
        <v>125</v>
      </c>
      <c r="I19" s="82"/>
      <c r="J19" s="83" t="s">
        <v>204</v>
      </c>
      <c r="K19" s="83"/>
      <c r="L19" s="90"/>
      <c r="M19" s="85" t="s">
        <v>205</v>
      </c>
      <c r="N19" s="86" t="s">
        <v>205</v>
      </c>
      <c r="O19" s="87"/>
      <c r="P19" s="57"/>
    </row>
    <row r="20" spans="1:16">
      <c r="A20" s="58">
        <v>12</v>
      </c>
      <c r="B20" s="79" t="s">
        <v>206</v>
      </c>
      <c r="C20" s="80" t="s">
        <v>176</v>
      </c>
      <c r="D20" s="89" t="s">
        <v>207</v>
      </c>
      <c r="E20" s="1" t="s">
        <v>154</v>
      </c>
      <c r="F20" s="1" t="s">
        <v>123</v>
      </c>
      <c r="G20" s="88" t="s">
        <v>208</v>
      </c>
      <c r="H20" s="73" t="s">
        <v>125</v>
      </c>
      <c r="I20" s="82"/>
      <c r="J20" s="83" t="s">
        <v>209</v>
      </c>
      <c r="K20" s="83"/>
      <c r="L20" s="90"/>
      <c r="M20" s="85" t="s">
        <v>210</v>
      </c>
      <c r="N20" s="86" t="s">
        <v>210</v>
      </c>
      <c r="O20" s="87"/>
      <c r="P20" s="57"/>
    </row>
    <row r="21" spans="1:16">
      <c r="A21" s="58"/>
      <c r="B21" s="79"/>
      <c r="C21" s="80"/>
      <c r="D21" s="89"/>
      <c r="E21" s="81"/>
      <c r="F21" s="81"/>
      <c r="G21" s="82"/>
      <c r="H21" s="91"/>
      <c r="I21" s="82"/>
      <c r="J21" s="83"/>
      <c r="K21" s="83"/>
      <c r="L21" s="90"/>
      <c r="M21" s="85"/>
      <c r="N21" s="86"/>
      <c r="O21" s="87"/>
      <c r="P21" s="57"/>
    </row>
    <row r="22" spans="1:16">
      <c r="A22" s="58"/>
      <c r="B22" s="79"/>
      <c r="C22" s="80"/>
      <c r="D22" s="89"/>
      <c r="E22" s="81"/>
      <c r="F22" s="81"/>
      <c r="G22" s="82"/>
      <c r="H22" s="91"/>
      <c r="I22" s="82"/>
      <c r="J22" s="83"/>
      <c r="K22" s="83"/>
      <c r="L22" s="90"/>
      <c r="M22" s="85"/>
      <c r="N22" s="86"/>
      <c r="O22" s="87"/>
      <c r="P22" s="57"/>
    </row>
    <row r="23" spans="1:16" ht="13.5" thickBot="1">
      <c r="A23" s="92"/>
      <c r="B23" s="93"/>
      <c r="C23" s="94"/>
      <c r="D23" s="95"/>
      <c r="E23" s="96"/>
      <c r="F23" s="96"/>
      <c r="G23" s="93"/>
      <c r="H23" s="97"/>
      <c r="I23" s="93"/>
      <c r="J23" s="98"/>
      <c r="K23" s="98"/>
      <c r="L23" s="99"/>
      <c r="M23" s="100"/>
      <c r="N23" s="101"/>
      <c r="O23" s="57"/>
    </row>
    <row r="24" spans="1:16">
      <c r="A24" s="45"/>
      <c r="B24" s="102"/>
      <c r="C24" s="103"/>
      <c r="D24" s="48"/>
      <c r="E24" s="53"/>
      <c r="F24" s="53"/>
      <c r="G24" s="102"/>
      <c r="H24" s="104"/>
      <c r="I24" s="102"/>
      <c r="J24" s="105"/>
      <c r="K24" s="105"/>
      <c r="L24" s="106"/>
      <c r="M24" s="107"/>
      <c r="N24" s="108"/>
      <c r="O24" s="57"/>
    </row>
    <row r="25" spans="1:16" s="14" customFormat="1">
      <c r="A25" s="58">
        <v>13</v>
      </c>
      <c r="B25" s="73" t="s">
        <v>211</v>
      </c>
      <c r="C25" s="109" t="s">
        <v>120</v>
      </c>
      <c r="D25" s="61" t="s">
        <v>131</v>
      </c>
      <c r="E25" s="1" t="s">
        <v>154</v>
      </c>
      <c r="F25" s="68" t="s">
        <v>212</v>
      </c>
      <c r="G25" s="110" t="s">
        <v>213</v>
      </c>
      <c r="H25" s="67" t="s">
        <v>125</v>
      </c>
      <c r="I25" s="110" t="s">
        <v>214</v>
      </c>
      <c r="J25" s="67"/>
      <c r="K25" s="67"/>
      <c r="L25" s="73" t="s">
        <v>215</v>
      </c>
      <c r="M25" s="111" t="s">
        <v>216</v>
      </c>
      <c r="N25" s="76" t="s">
        <v>216</v>
      </c>
      <c r="O25" s="57"/>
    </row>
    <row r="26" spans="1:16" s="14" customFormat="1">
      <c r="A26" s="112"/>
      <c r="B26" s="91"/>
      <c r="C26" s="113"/>
      <c r="D26" s="89"/>
      <c r="E26" s="81"/>
      <c r="F26" s="114"/>
      <c r="G26" s="115"/>
      <c r="H26" s="116"/>
      <c r="I26" s="115"/>
      <c r="J26" s="116"/>
      <c r="K26" s="116"/>
      <c r="L26" s="91"/>
      <c r="M26" s="117"/>
      <c r="N26" s="118"/>
      <c r="O26" s="57"/>
    </row>
    <row r="27" spans="1:16" s="14" customFormat="1">
      <c r="A27" s="112"/>
      <c r="B27" s="91"/>
      <c r="C27" s="113"/>
      <c r="D27" s="89"/>
      <c r="E27" s="81"/>
      <c r="F27" s="114"/>
      <c r="G27" s="115"/>
      <c r="H27" s="116"/>
      <c r="I27" s="115"/>
      <c r="J27" s="116"/>
      <c r="K27" s="116"/>
      <c r="L27" s="91"/>
      <c r="M27" s="117"/>
      <c r="N27" s="118"/>
      <c r="O27" s="57"/>
    </row>
    <row r="28" spans="1:16" s="14" customFormat="1" ht="13.5" thickBot="1">
      <c r="A28" s="92"/>
      <c r="B28" s="97"/>
      <c r="C28" s="119"/>
      <c r="D28" s="95"/>
      <c r="E28" s="96"/>
      <c r="F28" s="120"/>
      <c r="G28" s="121"/>
      <c r="H28" s="122"/>
      <c r="I28" s="121"/>
      <c r="J28" s="122"/>
      <c r="K28" s="122"/>
      <c r="L28" s="97"/>
      <c r="M28" s="123"/>
      <c r="N28" s="101"/>
      <c r="O28" s="57"/>
    </row>
    <row r="29" spans="1:16" s="14" customFormat="1" ht="21.95" customHeight="1">
      <c r="A29" s="45"/>
      <c r="B29" s="102"/>
      <c r="C29" s="103"/>
      <c r="D29" s="48"/>
      <c r="E29" s="53"/>
      <c r="F29" s="53"/>
      <c r="G29" s="102"/>
      <c r="H29" s="104"/>
      <c r="I29" s="102"/>
      <c r="J29" s="105"/>
      <c r="K29" s="105"/>
      <c r="L29" s="106"/>
      <c r="M29" s="107"/>
      <c r="N29" s="108"/>
      <c r="O29" s="57"/>
    </row>
    <row r="30" spans="1:16" ht="21.95" customHeight="1">
      <c r="A30" s="212">
        <v>14</v>
      </c>
      <c r="B30" s="17" t="s">
        <v>217</v>
      </c>
      <c r="C30" s="1" t="s">
        <v>120</v>
      </c>
      <c r="D30" s="230" t="s">
        <v>131</v>
      </c>
      <c r="E30" s="1" t="s">
        <v>218</v>
      </c>
      <c r="F30" s="1" t="s">
        <v>219</v>
      </c>
      <c r="G30" s="17" t="s">
        <v>220</v>
      </c>
      <c r="H30" s="6" t="s">
        <v>125</v>
      </c>
      <c r="I30" s="17" t="s">
        <v>221</v>
      </c>
      <c r="J30" s="6" t="s">
        <v>222</v>
      </c>
      <c r="K30" s="6"/>
      <c r="L30" s="78" t="s">
        <v>223</v>
      </c>
      <c r="M30" s="75"/>
      <c r="N30" s="76" t="s">
        <v>224</v>
      </c>
      <c r="O30" s="57"/>
    </row>
    <row r="31" spans="1:16" s="14" customFormat="1" ht="21.95" customHeight="1">
      <c r="A31" s="212">
        <v>15</v>
      </c>
      <c r="B31" s="73" t="s">
        <v>225</v>
      </c>
      <c r="C31" s="68" t="s">
        <v>161</v>
      </c>
      <c r="D31" s="230" t="s">
        <v>131</v>
      </c>
      <c r="E31" s="68" t="s">
        <v>226</v>
      </c>
      <c r="F31" s="68" t="s">
        <v>219</v>
      </c>
      <c r="G31" s="73" t="s">
        <v>227</v>
      </c>
      <c r="H31" s="67" t="s">
        <v>134</v>
      </c>
      <c r="I31" s="73" t="s">
        <v>228</v>
      </c>
      <c r="J31" s="67"/>
      <c r="K31" s="67"/>
      <c r="L31" s="124" t="s">
        <v>229</v>
      </c>
      <c r="M31" s="111"/>
      <c r="N31" s="125" t="s">
        <v>230</v>
      </c>
      <c r="O31" s="57"/>
    </row>
    <row r="32" spans="1:16" s="14" customFormat="1" ht="21.95" customHeight="1">
      <c r="A32" s="212">
        <v>16</v>
      </c>
      <c r="B32" s="73" t="s">
        <v>231</v>
      </c>
      <c r="C32" s="68" t="s">
        <v>120</v>
      </c>
      <c r="D32" s="230" t="s">
        <v>131</v>
      </c>
      <c r="E32" s="68" t="s">
        <v>122</v>
      </c>
      <c r="F32" s="68" t="s">
        <v>219</v>
      </c>
      <c r="G32" s="73" t="s">
        <v>232</v>
      </c>
      <c r="H32" s="67" t="s">
        <v>134</v>
      </c>
      <c r="I32" s="73" t="s">
        <v>233</v>
      </c>
      <c r="J32" s="67"/>
      <c r="K32" s="67"/>
      <c r="L32" s="124" t="s">
        <v>234</v>
      </c>
      <c r="M32" s="111"/>
      <c r="N32" s="125" t="s">
        <v>235</v>
      </c>
      <c r="O32" s="57"/>
    </row>
    <row r="33" spans="1:15" s="14" customFormat="1" ht="21.95" customHeight="1">
      <c r="A33" s="212">
        <v>17</v>
      </c>
      <c r="B33" s="73" t="s">
        <v>236</v>
      </c>
      <c r="C33" s="68" t="s">
        <v>120</v>
      </c>
      <c r="D33" s="230" t="s">
        <v>237</v>
      </c>
      <c r="E33" s="68" t="s">
        <v>238</v>
      </c>
      <c r="F33" s="68" t="s">
        <v>219</v>
      </c>
      <c r="G33" s="73" t="s">
        <v>239</v>
      </c>
      <c r="H33" s="67" t="s">
        <v>125</v>
      </c>
      <c r="I33" s="73" t="s">
        <v>240</v>
      </c>
      <c r="J33" s="67" t="s">
        <v>241</v>
      </c>
      <c r="K33" s="67" t="s">
        <v>242</v>
      </c>
      <c r="L33" s="124"/>
      <c r="M33" s="111"/>
      <c r="N33" s="125" t="s">
        <v>243</v>
      </c>
      <c r="O33" s="57"/>
    </row>
    <row r="34" spans="1:15" ht="21.95" customHeight="1">
      <c r="A34" s="212">
        <v>18</v>
      </c>
      <c r="B34" s="17" t="s">
        <v>244</v>
      </c>
      <c r="C34" s="1" t="s">
        <v>120</v>
      </c>
      <c r="D34" s="230" t="s">
        <v>237</v>
      </c>
      <c r="E34" s="1" t="s">
        <v>245</v>
      </c>
      <c r="F34" s="1" t="s">
        <v>219</v>
      </c>
      <c r="G34" s="17" t="s">
        <v>246</v>
      </c>
      <c r="H34" s="6" t="s">
        <v>134</v>
      </c>
      <c r="I34" s="17"/>
      <c r="J34" s="6" t="s">
        <v>247</v>
      </c>
      <c r="K34" s="6" t="s">
        <v>248</v>
      </c>
      <c r="L34" s="78"/>
      <c r="M34" s="75"/>
      <c r="N34" s="126" t="s">
        <v>249</v>
      </c>
      <c r="O34" s="57"/>
    </row>
    <row r="35" spans="1:15" ht="21.95" customHeight="1">
      <c r="A35" s="212">
        <v>19</v>
      </c>
      <c r="B35" s="17" t="s">
        <v>250</v>
      </c>
      <c r="C35" s="1" t="s">
        <v>120</v>
      </c>
      <c r="D35" s="230" t="s">
        <v>131</v>
      </c>
      <c r="E35" s="1" t="s">
        <v>226</v>
      </c>
      <c r="F35" s="1" t="s">
        <v>219</v>
      </c>
      <c r="G35" s="17" t="s">
        <v>251</v>
      </c>
      <c r="H35" s="6" t="s">
        <v>125</v>
      </c>
      <c r="I35" s="17" t="s">
        <v>252</v>
      </c>
      <c r="J35" s="6" t="s">
        <v>253</v>
      </c>
      <c r="K35" s="6"/>
      <c r="L35" s="74" t="s">
        <v>254</v>
      </c>
      <c r="M35" s="75"/>
      <c r="N35" s="126" t="s">
        <v>255</v>
      </c>
      <c r="O35" s="57"/>
    </row>
    <row r="36" spans="1:15" ht="21.95" customHeight="1">
      <c r="A36" s="212">
        <v>20</v>
      </c>
      <c r="B36" s="17" t="s">
        <v>256</v>
      </c>
      <c r="C36" s="1" t="s">
        <v>120</v>
      </c>
      <c r="D36" s="230" t="s">
        <v>131</v>
      </c>
      <c r="E36" s="1" t="s">
        <v>163</v>
      </c>
      <c r="F36" s="1" t="s">
        <v>219</v>
      </c>
      <c r="G36" s="17" t="s">
        <v>257</v>
      </c>
      <c r="H36" s="6" t="s">
        <v>134</v>
      </c>
      <c r="I36" s="17" t="s">
        <v>258</v>
      </c>
      <c r="J36" s="6" t="s">
        <v>259</v>
      </c>
      <c r="K36" s="6"/>
      <c r="L36" s="78" t="s">
        <v>260</v>
      </c>
      <c r="M36" s="75"/>
      <c r="N36" s="126" t="s">
        <v>261</v>
      </c>
      <c r="O36" s="57"/>
    </row>
    <row r="37" spans="1:15" ht="21.95" customHeight="1">
      <c r="A37" s="212">
        <v>21</v>
      </c>
      <c r="B37" s="17" t="s">
        <v>262</v>
      </c>
      <c r="C37" s="1" t="s">
        <v>161</v>
      </c>
      <c r="D37" s="230" t="s">
        <v>263</v>
      </c>
      <c r="E37" s="1" t="s">
        <v>183</v>
      </c>
      <c r="F37" s="1" t="s">
        <v>219</v>
      </c>
      <c r="G37" s="17" t="s">
        <v>264</v>
      </c>
      <c r="H37" s="6" t="s">
        <v>125</v>
      </c>
      <c r="I37" s="17"/>
      <c r="J37" s="6" t="s">
        <v>265</v>
      </c>
      <c r="K37" s="6"/>
      <c r="L37" s="78" t="s">
        <v>266</v>
      </c>
      <c r="M37" s="75"/>
      <c r="N37" s="126" t="s">
        <v>267</v>
      </c>
      <c r="O37" s="57"/>
    </row>
    <row r="38" spans="1:15" ht="21.95" customHeight="1">
      <c r="A38" s="212">
        <v>22</v>
      </c>
      <c r="B38" s="82" t="s">
        <v>268</v>
      </c>
      <c r="C38" s="81" t="s">
        <v>176</v>
      </c>
      <c r="D38" s="230" t="s">
        <v>269</v>
      </c>
      <c r="E38" s="68" t="s">
        <v>122</v>
      </c>
      <c r="F38" s="1" t="s">
        <v>219</v>
      </c>
      <c r="G38" s="82" t="s">
        <v>270</v>
      </c>
      <c r="H38" s="6" t="s">
        <v>134</v>
      </c>
      <c r="I38" s="82" t="s">
        <v>271</v>
      </c>
      <c r="J38" s="83" t="s">
        <v>272</v>
      </c>
      <c r="K38" s="83"/>
      <c r="L38" s="84" t="s">
        <v>273</v>
      </c>
      <c r="M38" s="85"/>
      <c r="N38" s="127" t="s">
        <v>274</v>
      </c>
      <c r="O38" s="57"/>
    </row>
    <row r="39" spans="1:15" ht="21.95" customHeight="1">
      <c r="A39" s="229"/>
      <c r="B39" s="82" t="s">
        <v>275</v>
      </c>
      <c r="C39" s="81" t="s">
        <v>176</v>
      </c>
      <c r="D39" s="231"/>
      <c r="E39" s="1" t="s">
        <v>183</v>
      </c>
      <c r="F39" s="1" t="s">
        <v>219</v>
      </c>
      <c r="G39" s="82"/>
      <c r="H39" s="83"/>
      <c r="I39" s="82"/>
      <c r="J39" s="83"/>
      <c r="K39" s="83"/>
      <c r="L39" s="84"/>
      <c r="M39" s="85"/>
      <c r="N39" s="127"/>
      <c r="O39" s="57"/>
    </row>
    <row r="40" spans="1:15" ht="21.95" customHeight="1">
      <c r="A40" s="229">
        <v>23</v>
      </c>
      <c r="B40" s="82" t="s">
        <v>276</v>
      </c>
      <c r="C40" s="81" t="s">
        <v>176</v>
      </c>
      <c r="D40" s="231"/>
      <c r="E40" s="114" t="s">
        <v>277</v>
      </c>
      <c r="F40" s="1" t="s">
        <v>219</v>
      </c>
      <c r="G40" s="82"/>
      <c r="H40" s="83"/>
      <c r="I40" s="82"/>
      <c r="J40" s="83"/>
      <c r="K40" s="83"/>
      <c r="L40" s="84"/>
      <c r="M40" s="85"/>
      <c r="N40" s="127"/>
      <c r="O40" s="57"/>
    </row>
    <row r="41" spans="1:15" ht="21.95" customHeight="1">
      <c r="A41" s="212">
        <v>24</v>
      </c>
      <c r="B41" s="17" t="s">
        <v>278</v>
      </c>
      <c r="C41" s="1" t="s">
        <v>120</v>
      </c>
      <c r="D41" s="230" t="s">
        <v>162</v>
      </c>
      <c r="E41" s="1" t="s">
        <v>132</v>
      </c>
      <c r="F41" s="1" t="s">
        <v>279</v>
      </c>
      <c r="G41" s="17" t="s">
        <v>280</v>
      </c>
      <c r="H41" s="6" t="s">
        <v>134</v>
      </c>
      <c r="I41" s="17" t="s">
        <v>281</v>
      </c>
      <c r="J41" s="6" t="s">
        <v>282</v>
      </c>
      <c r="K41" s="6" t="s">
        <v>283</v>
      </c>
      <c r="L41" s="78"/>
      <c r="M41" s="75"/>
      <c r="N41" s="126" t="s">
        <v>284</v>
      </c>
      <c r="O41" s="57"/>
    </row>
    <row r="42" spans="1:15" ht="21.95" customHeight="1">
      <c r="A42" s="212">
        <v>25</v>
      </c>
      <c r="B42" s="6" t="s">
        <v>285</v>
      </c>
      <c r="C42" s="72" t="s">
        <v>120</v>
      </c>
      <c r="D42" s="230" t="s">
        <v>131</v>
      </c>
      <c r="E42" s="1" t="s">
        <v>122</v>
      </c>
      <c r="F42" s="1" t="s">
        <v>279</v>
      </c>
      <c r="G42" s="6" t="s">
        <v>286</v>
      </c>
      <c r="H42" s="73" t="s">
        <v>125</v>
      </c>
      <c r="I42" s="6" t="s">
        <v>287</v>
      </c>
      <c r="L42" s="16" t="s">
        <v>288</v>
      </c>
      <c r="N42" s="64" t="s">
        <v>289</v>
      </c>
      <c r="O42" s="57"/>
    </row>
    <row r="43" spans="1:15" ht="21.95" customHeight="1">
      <c r="A43" s="212"/>
      <c r="B43" s="6" t="s">
        <v>290</v>
      </c>
      <c r="C43" s="72" t="s">
        <v>120</v>
      </c>
      <c r="D43" s="230"/>
      <c r="E43" s="1" t="s">
        <v>238</v>
      </c>
      <c r="F43" s="1" t="s">
        <v>279</v>
      </c>
      <c r="G43" s="6"/>
      <c r="H43" s="73"/>
      <c r="I43" s="6"/>
      <c r="L43" s="16"/>
      <c r="N43" s="64"/>
      <c r="O43" s="57"/>
    </row>
    <row r="44" spans="1:15" ht="21.95" customHeight="1">
      <c r="A44" s="212">
        <v>26</v>
      </c>
      <c r="B44" s="6" t="s">
        <v>291</v>
      </c>
      <c r="C44" s="72" t="s">
        <v>120</v>
      </c>
      <c r="D44" s="230" t="s">
        <v>131</v>
      </c>
      <c r="E44" s="1" t="s">
        <v>202</v>
      </c>
      <c r="F44" s="1" t="s">
        <v>279</v>
      </c>
      <c r="G44" s="6" t="s">
        <v>292</v>
      </c>
      <c r="H44" s="73" t="s">
        <v>134</v>
      </c>
      <c r="I44" s="6"/>
      <c r="J44" s="232" t="s">
        <v>293</v>
      </c>
      <c r="K44" s="1" t="s">
        <v>294</v>
      </c>
      <c r="L44" s="1"/>
      <c r="N44" s="64" t="s">
        <v>295</v>
      </c>
      <c r="O44" s="57"/>
    </row>
    <row r="45" spans="1:15" ht="21.95" customHeight="1">
      <c r="A45" s="212">
        <v>27</v>
      </c>
      <c r="B45" s="6" t="s">
        <v>296</v>
      </c>
      <c r="C45" s="72" t="s">
        <v>120</v>
      </c>
      <c r="D45" s="230" t="s">
        <v>162</v>
      </c>
      <c r="E45" s="1" t="s">
        <v>140</v>
      </c>
      <c r="F45" s="1" t="s">
        <v>279</v>
      </c>
      <c r="G45" s="6" t="s">
        <v>297</v>
      </c>
      <c r="H45" s="73" t="s">
        <v>134</v>
      </c>
      <c r="I45" s="6" t="s">
        <v>298</v>
      </c>
      <c r="J45" s="232" t="s">
        <v>299</v>
      </c>
      <c r="L45" s="16"/>
      <c r="N45" s="128" t="s">
        <v>300</v>
      </c>
      <c r="O45" s="57"/>
    </row>
    <row r="46" spans="1:15" ht="21.95" customHeight="1">
      <c r="A46" s="212">
        <v>28</v>
      </c>
      <c r="B46" s="73" t="s">
        <v>301</v>
      </c>
      <c r="C46" s="72" t="s">
        <v>120</v>
      </c>
      <c r="D46" s="230" t="s">
        <v>131</v>
      </c>
      <c r="E46" s="72" t="s">
        <v>140</v>
      </c>
      <c r="F46" s="72" t="s">
        <v>279</v>
      </c>
      <c r="G46" s="6" t="s">
        <v>302</v>
      </c>
      <c r="H46" s="73" t="s">
        <v>134</v>
      </c>
      <c r="I46" s="6" t="s">
        <v>303</v>
      </c>
      <c r="J46" s="232" t="s">
        <v>304</v>
      </c>
      <c r="K46" s="1" t="s">
        <v>304</v>
      </c>
      <c r="L46" s="16"/>
      <c r="N46" s="128" t="s">
        <v>305</v>
      </c>
      <c r="O46" s="57"/>
    </row>
    <row r="47" spans="1:15" ht="21.95" customHeight="1">
      <c r="A47" s="212">
        <v>29</v>
      </c>
      <c r="B47" s="73" t="s">
        <v>306</v>
      </c>
      <c r="C47" s="72" t="s">
        <v>120</v>
      </c>
      <c r="D47" s="230" t="s">
        <v>237</v>
      </c>
      <c r="E47" s="72" t="s">
        <v>202</v>
      </c>
      <c r="F47" s="72" t="s">
        <v>279</v>
      </c>
      <c r="G47" s="6" t="s">
        <v>307</v>
      </c>
      <c r="H47" s="73" t="s">
        <v>134</v>
      </c>
      <c r="I47" s="6" t="s">
        <v>308</v>
      </c>
      <c r="J47" s="232"/>
      <c r="L47" s="201"/>
      <c r="N47" s="128" t="s">
        <v>309</v>
      </c>
      <c r="O47" s="57"/>
    </row>
    <row r="48" spans="1:15" ht="21.95" customHeight="1">
      <c r="A48" s="212">
        <v>30</v>
      </c>
      <c r="B48" s="73" t="s">
        <v>310</v>
      </c>
      <c r="C48" s="72" t="s">
        <v>120</v>
      </c>
      <c r="D48" s="230" t="s">
        <v>131</v>
      </c>
      <c r="E48" s="72" t="s">
        <v>311</v>
      </c>
      <c r="F48" s="72" t="s">
        <v>279</v>
      </c>
      <c r="G48" s="6" t="s">
        <v>312</v>
      </c>
      <c r="H48" s="73" t="s">
        <v>134</v>
      </c>
      <c r="I48" s="6"/>
      <c r="J48" s="232" t="s">
        <v>313</v>
      </c>
      <c r="L48" s="201" t="s">
        <v>314</v>
      </c>
      <c r="N48" s="128" t="s">
        <v>315</v>
      </c>
      <c r="O48" s="57"/>
    </row>
    <row r="49" spans="1:15" ht="21.95" customHeight="1">
      <c r="A49" s="212">
        <v>31</v>
      </c>
      <c r="B49" s="6" t="s">
        <v>316</v>
      </c>
      <c r="C49" s="1" t="s">
        <v>120</v>
      </c>
      <c r="D49" s="230" t="s">
        <v>121</v>
      </c>
      <c r="E49" s="1" t="s">
        <v>163</v>
      </c>
      <c r="F49" s="1" t="s">
        <v>279</v>
      </c>
      <c r="G49" s="6" t="s">
        <v>317</v>
      </c>
      <c r="H49" s="73" t="s">
        <v>134</v>
      </c>
      <c r="I49" s="5" t="s">
        <v>318</v>
      </c>
      <c r="L49" s="16"/>
      <c r="N49" s="64" t="s">
        <v>319</v>
      </c>
      <c r="O49" s="57"/>
    </row>
    <row r="50" spans="1:15" ht="21.95" customHeight="1">
      <c r="A50" s="212">
        <v>32</v>
      </c>
      <c r="B50" s="83" t="s">
        <v>320</v>
      </c>
      <c r="C50" s="1" t="s">
        <v>120</v>
      </c>
      <c r="D50" s="231"/>
      <c r="E50" s="72" t="s">
        <v>202</v>
      </c>
      <c r="F50" s="1" t="s">
        <v>279</v>
      </c>
      <c r="G50" s="83"/>
      <c r="H50" s="91"/>
      <c r="I50" s="129"/>
      <c r="J50" s="83"/>
      <c r="K50" s="81"/>
      <c r="L50" s="88"/>
      <c r="M50" s="130"/>
      <c r="N50" s="131"/>
      <c r="O50" s="57"/>
    </row>
    <row r="51" spans="1:15" ht="21.95" customHeight="1">
      <c r="A51" s="212">
        <v>33</v>
      </c>
      <c r="B51" s="6" t="s">
        <v>321</v>
      </c>
      <c r="C51" s="1" t="s">
        <v>161</v>
      </c>
      <c r="D51" s="230" t="s">
        <v>131</v>
      </c>
      <c r="E51" s="72" t="s">
        <v>322</v>
      </c>
      <c r="F51" s="1" t="s">
        <v>323</v>
      </c>
      <c r="G51" s="6" t="s">
        <v>324</v>
      </c>
      <c r="H51" s="73" t="s">
        <v>125</v>
      </c>
      <c r="I51" s="5" t="s">
        <v>325</v>
      </c>
      <c r="L51" s="201" t="s">
        <v>326</v>
      </c>
      <c r="N51" s="64" t="s">
        <v>327</v>
      </c>
      <c r="O51" s="57"/>
    </row>
    <row r="52" spans="1:15" ht="21.95" customHeight="1">
      <c r="A52" s="212">
        <v>34</v>
      </c>
      <c r="B52" s="6" t="s">
        <v>328</v>
      </c>
      <c r="C52" s="1" t="s">
        <v>120</v>
      </c>
      <c r="D52" s="230" t="s">
        <v>131</v>
      </c>
      <c r="E52" s="1" t="s">
        <v>329</v>
      </c>
      <c r="F52" s="1" t="s">
        <v>330</v>
      </c>
      <c r="G52" s="6" t="s">
        <v>331</v>
      </c>
      <c r="H52" s="73" t="s">
        <v>134</v>
      </c>
      <c r="J52" s="6" t="s">
        <v>332</v>
      </c>
      <c r="K52" s="1" t="s">
        <v>333</v>
      </c>
      <c r="L52" s="201"/>
      <c r="N52" s="64" t="s">
        <v>334</v>
      </c>
      <c r="O52" s="57"/>
    </row>
    <row r="53" spans="1:15" ht="21.95" customHeight="1">
      <c r="A53" s="212">
        <v>35</v>
      </c>
      <c r="B53" s="6" t="s">
        <v>335</v>
      </c>
      <c r="C53" s="1" t="s">
        <v>120</v>
      </c>
      <c r="D53" s="230" t="s">
        <v>131</v>
      </c>
      <c r="E53" s="1" t="s">
        <v>336</v>
      </c>
      <c r="F53" s="1" t="s">
        <v>330</v>
      </c>
      <c r="G53" s="6" t="s">
        <v>337</v>
      </c>
      <c r="H53" s="73" t="s">
        <v>125</v>
      </c>
      <c r="I53" s="5" t="s">
        <v>338</v>
      </c>
      <c r="J53" s="6" t="s">
        <v>339</v>
      </c>
      <c r="L53" s="201"/>
      <c r="N53" s="64" t="s">
        <v>340</v>
      </c>
      <c r="O53" s="57"/>
    </row>
    <row r="54" spans="1:15" ht="21.95" customHeight="1">
      <c r="A54" s="212">
        <v>36</v>
      </c>
      <c r="B54" s="6" t="s">
        <v>341</v>
      </c>
      <c r="C54" s="1" t="s">
        <v>120</v>
      </c>
      <c r="D54" s="230" t="s">
        <v>131</v>
      </c>
      <c r="E54" s="1" t="s">
        <v>342</v>
      </c>
      <c r="F54" s="1" t="s">
        <v>343</v>
      </c>
      <c r="G54" s="6" t="s">
        <v>344</v>
      </c>
      <c r="H54" s="73" t="s">
        <v>134</v>
      </c>
      <c r="J54" s="6" t="s">
        <v>345</v>
      </c>
      <c r="L54" s="201" t="s">
        <v>346</v>
      </c>
      <c r="N54" s="64" t="s">
        <v>347</v>
      </c>
      <c r="O54" s="57"/>
    </row>
    <row r="55" spans="1:15" ht="21.95" customHeight="1">
      <c r="A55" s="212">
        <v>37</v>
      </c>
      <c r="B55" s="6" t="s">
        <v>348</v>
      </c>
      <c r="C55" s="1" t="s">
        <v>161</v>
      </c>
      <c r="D55" s="230" t="s">
        <v>131</v>
      </c>
      <c r="E55" s="1" t="s">
        <v>349</v>
      </c>
      <c r="F55" s="1" t="s">
        <v>343</v>
      </c>
      <c r="G55" s="6" t="s">
        <v>350</v>
      </c>
      <c r="H55" s="73" t="s">
        <v>125</v>
      </c>
      <c r="I55" s="5" t="s">
        <v>351</v>
      </c>
      <c r="J55" s="6" t="s">
        <v>352</v>
      </c>
      <c r="L55" s="201" t="s">
        <v>353</v>
      </c>
      <c r="N55" s="64" t="s">
        <v>354</v>
      </c>
      <c r="O55" s="57"/>
    </row>
    <row r="56" spans="1:15" ht="21.95" customHeight="1">
      <c r="A56" s="212">
        <v>38</v>
      </c>
      <c r="B56" s="6" t="s">
        <v>355</v>
      </c>
      <c r="C56" s="1" t="s">
        <v>120</v>
      </c>
      <c r="D56" s="230" t="s">
        <v>131</v>
      </c>
      <c r="E56" s="1" t="s">
        <v>356</v>
      </c>
      <c r="F56" s="1" t="s">
        <v>343</v>
      </c>
      <c r="G56" s="6" t="s">
        <v>357</v>
      </c>
      <c r="H56" s="73" t="s">
        <v>125</v>
      </c>
      <c r="J56" s="6" t="s">
        <v>358</v>
      </c>
      <c r="L56" s="201"/>
      <c r="N56" s="64" t="s">
        <v>359</v>
      </c>
      <c r="O56" s="57"/>
    </row>
    <row r="57" spans="1:15" ht="21.95" customHeight="1">
      <c r="A57" s="212">
        <v>39</v>
      </c>
      <c r="B57" s="6" t="s">
        <v>360</v>
      </c>
      <c r="C57" s="1" t="s">
        <v>120</v>
      </c>
      <c r="D57" s="230" t="s">
        <v>169</v>
      </c>
      <c r="E57" s="1" t="s">
        <v>154</v>
      </c>
      <c r="F57" s="1" t="s">
        <v>343</v>
      </c>
      <c r="G57" s="6" t="s">
        <v>361</v>
      </c>
      <c r="H57" s="73" t="s">
        <v>125</v>
      </c>
      <c r="J57" s="6" t="s">
        <v>362</v>
      </c>
      <c r="L57" s="201" t="s">
        <v>363</v>
      </c>
      <c r="N57" s="64" t="s">
        <v>364</v>
      </c>
      <c r="O57" s="57"/>
    </row>
    <row r="58" spans="1:15" ht="21.95" customHeight="1">
      <c r="A58" s="212">
        <v>40</v>
      </c>
      <c r="B58" s="6" t="s">
        <v>365</v>
      </c>
      <c r="C58" s="1" t="s">
        <v>138</v>
      </c>
      <c r="D58" s="230" t="s">
        <v>366</v>
      </c>
      <c r="E58" s="1" t="s">
        <v>154</v>
      </c>
      <c r="F58" s="1" t="s">
        <v>343</v>
      </c>
      <c r="G58" s="6" t="s">
        <v>367</v>
      </c>
      <c r="H58" s="73" t="s">
        <v>125</v>
      </c>
      <c r="J58" s="6" t="s">
        <v>368</v>
      </c>
      <c r="L58" s="201" t="s">
        <v>369</v>
      </c>
      <c r="N58" s="64" t="s">
        <v>370</v>
      </c>
      <c r="O58" s="57"/>
    </row>
    <row r="59" spans="1:15" ht="21.95" customHeight="1">
      <c r="A59" s="212">
        <v>41</v>
      </c>
      <c r="B59" s="6" t="s">
        <v>371</v>
      </c>
      <c r="C59" s="1" t="s">
        <v>120</v>
      </c>
      <c r="D59" s="230" t="s">
        <v>131</v>
      </c>
      <c r="E59" s="1" t="s">
        <v>140</v>
      </c>
      <c r="F59" s="1" t="s">
        <v>343</v>
      </c>
      <c r="G59" s="6" t="s">
        <v>372</v>
      </c>
      <c r="H59" s="73" t="s">
        <v>125</v>
      </c>
      <c r="I59" s="5" t="s">
        <v>373</v>
      </c>
      <c r="L59" s="201" t="s">
        <v>374</v>
      </c>
      <c r="N59" s="64" t="s">
        <v>375</v>
      </c>
      <c r="O59" s="57"/>
    </row>
    <row r="60" spans="1:15" ht="21.95" customHeight="1">
      <c r="A60" s="212">
        <v>42</v>
      </c>
      <c r="B60" s="6" t="s">
        <v>376</v>
      </c>
      <c r="C60" s="1" t="s">
        <v>138</v>
      </c>
      <c r="D60" s="230" t="s">
        <v>377</v>
      </c>
      <c r="E60" s="1" t="s">
        <v>329</v>
      </c>
      <c r="F60" s="1" t="s">
        <v>343</v>
      </c>
      <c r="G60" s="6" t="s">
        <v>378</v>
      </c>
      <c r="H60" s="73" t="s">
        <v>134</v>
      </c>
      <c r="I60" s="5" t="s">
        <v>379</v>
      </c>
      <c r="J60" s="6" t="s">
        <v>380</v>
      </c>
      <c r="L60" s="201"/>
      <c r="N60" s="64" t="s">
        <v>381</v>
      </c>
      <c r="O60" s="57"/>
    </row>
    <row r="61" spans="1:15" ht="21.95" customHeight="1">
      <c r="A61" s="212"/>
      <c r="B61" s="6" t="s">
        <v>382</v>
      </c>
      <c r="C61" s="1" t="s">
        <v>138</v>
      </c>
      <c r="D61" s="230" t="s">
        <v>131</v>
      </c>
      <c r="E61" s="1" t="s">
        <v>329</v>
      </c>
      <c r="F61" s="1" t="s">
        <v>343</v>
      </c>
      <c r="G61" s="6" t="s">
        <v>383</v>
      </c>
      <c r="H61" s="73" t="s">
        <v>125</v>
      </c>
      <c r="J61" s="6" t="s">
        <v>384</v>
      </c>
      <c r="L61" s="201"/>
      <c r="N61" s="64" t="s">
        <v>381</v>
      </c>
      <c r="O61" s="57"/>
    </row>
    <row r="62" spans="1:15" ht="21.95" customHeight="1">
      <c r="A62" s="212"/>
      <c r="B62" s="6" t="s">
        <v>385</v>
      </c>
      <c r="C62" s="1" t="s">
        <v>138</v>
      </c>
      <c r="D62" s="230" t="s">
        <v>131</v>
      </c>
      <c r="E62" s="1" t="s">
        <v>329</v>
      </c>
      <c r="F62" s="1" t="s">
        <v>343</v>
      </c>
      <c r="G62" s="6" t="s">
        <v>386</v>
      </c>
      <c r="H62" s="73" t="s">
        <v>125</v>
      </c>
      <c r="J62" s="6" t="s">
        <v>387</v>
      </c>
      <c r="L62" s="201"/>
      <c r="N62" s="64" t="s">
        <v>388</v>
      </c>
      <c r="O62" s="57"/>
    </row>
    <row r="63" spans="1:15" ht="21.95" customHeight="1">
      <c r="A63" s="212"/>
      <c r="B63" s="6" t="s">
        <v>389</v>
      </c>
      <c r="C63" s="1" t="s">
        <v>138</v>
      </c>
      <c r="D63" s="230" t="s">
        <v>131</v>
      </c>
      <c r="E63" s="1" t="s">
        <v>329</v>
      </c>
      <c r="F63" s="1" t="s">
        <v>343</v>
      </c>
      <c r="G63" s="6" t="s">
        <v>390</v>
      </c>
      <c r="H63" s="73" t="s">
        <v>125</v>
      </c>
      <c r="J63" s="6" t="s">
        <v>391</v>
      </c>
      <c r="L63" s="201"/>
      <c r="N63" s="64" t="s">
        <v>392</v>
      </c>
      <c r="O63" s="57"/>
    </row>
    <row r="64" spans="1:15" ht="21.95" customHeight="1">
      <c r="A64" s="212"/>
      <c r="B64" s="6" t="s">
        <v>393</v>
      </c>
      <c r="C64" s="1" t="s">
        <v>138</v>
      </c>
      <c r="D64" s="230" t="s">
        <v>131</v>
      </c>
      <c r="E64" s="1" t="s">
        <v>329</v>
      </c>
      <c r="F64" s="1" t="s">
        <v>343</v>
      </c>
      <c r="G64" s="6" t="s">
        <v>394</v>
      </c>
      <c r="H64" s="73" t="s">
        <v>125</v>
      </c>
      <c r="J64" s="6" t="s">
        <v>391</v>
      </c>
      <c r="L64" s="201"/>
      <c r="N64" s="64"/>
      <c r="O64" s="57"/>
    </row>
    <row r="65" spans="1:15" ht="21.95" customHeight="1">
      <c r="A65" s="212"/>
      <c r="B65" s="6" t="s">
        <v>395</v>
      </c>
      <c r="C65" s="1" t="s">
        <v>138</v>
      </c>
      <c r="D65" s="230" t="s">
        <v>131</v>
      </c>
      <c r="E65" s="1" t="s">
        <v>329</v>
      </c>
      <c r="F65" s="1" t="s">
        <v>343</v>
      </c>
      <c r="G65" s="6" t="s">
        <v>396</v>
      </c>
      <c r="H65" s="73" t="s">
        <v>125</v>
      </c>
      <c r="J65" s="6" t="s">
        <v>397</v>
      </c>
      <c r="L65" s="201"/>
      <c r="N65" s="64"/>
      <c r="O65" s="57"/>
    </row>
    <row r="66" spans="1:15" ht="21.95" customHeight="1">
      <c r="A66" s="212"/>
      <c r="B66" s="6" t="s">
        <v>398</v>
      </c>
      <c r="C66" s="1" t="s">
        <v>138</v>
      </c>
      <c r="D66" s="230" t="s">
        <v>131</v>
      </c>
      <c r="E66" s="1" t="s">
        <v>329</v>
      </c>
      <c r="F66" s="1" t="s">
        <v>343</v>
      </c>
      <c r="G66" s="6" t="s">
        <v>399</v>
      </c>
      <c r="H66" s="73" t="s">
        <v>134</v>
      </c>
      <c r="J66" s="6" t="s">
        <v>400</v>
      </c>
      <c r="L66" s="201"/>
      <c r="N66" s="64"/>
      <c r="O66" s="57"/>
    </row>
    <row r="67" spans="1:15" ht="21.95" customHeight="1">
      <c r="A67" s="229"/>
      <c r="B67" s="83" t="s">
        <v>401</v>
      </c>
      <c r="C67" s="81" t="s">
        <v>176</v>
      </c>
      <c r="D67" s="231"/>
      <c r="E67" s="1" t="s">
        <v>329</v>
      </c>
      <c r="F67" s="1" t="s">
        <v>343</v>
      </c>
      <c r="G67" s="83"/>
      <c r="H67" s="91"/>
      <c r="I67" s="129"/>
      <c r="J67" s="83"/>
      <c r="K67" s="81"/>
      <c r="L67" s="233"/>
      <c r="M67" s="130"/>
      <c r="N67" s="131"/>
      <c r="O67" s="57"/>
    </row>
    <row r="68" spans="1:15" ht="21.95" customHeight="1">
      <c r="A68" s="212">
        <v>43</v>
      </c>
      <c r="B68" s="6" t="s">
        <v>402</v>
      </c>
      <c r="C68" s="1" t="s">
        <v>120</v>
      </c>
      <c r="D68" s="230" t="s">
        <v>131</v>
      </c>
      <c r="E68" s="1" t="s">
        <v>403</v>
      </c>
      <c r="F68" s="1" t="s">
        <v>404</v>
      </c>
      <c r="G68" s="6" t="s">
        <v>405</v>
      </c>
      <c r="H68" s="73" t="s">
        <v>134</v>
      </c>
      <c r="J68" s="6" t="s">
        <v>406</v>
      </c>
      <c r="K68" s="1" t="s">
        <v>407</v>
      </c>
      <c r="L68" s="201"/>
      <c r="N68" s="64" t="s">
        <v>408</v>
      </c>
      <c r="O68" s="57"/>
    </row>
    <row r="69" spans="1:15" ht="21.95" customHeight="1">
      <c r="A69" s="72">
        <v>44</v>
      </c>
      <c r="B69" s="6" t="s">
        <v>409</v>
      </c>
      <c r="C69" s="1" t="s">
        <v>161</v>
      </c>
      <c r="D69" s="230" t="s">
        <v>131</v>
      </c>
      <c r="E69" s="1" t="s">
        <v>163</v>
      </c>
      <c r="F69" s="1" t="s">
        <v>410</v>
      </c>
      <c r="G69" s="6" t="s">
        <v>411</v>
      </c>
      <c r="H69" s="73" t="s">
        <v>125</v>
      </c>
      <c r="I69" s="5" t="s">
        <v>412</v>
      </c>
      <c r="J69" s="6" t="s">
        <v>413</v>
      </c>
      <c r="K69" s="1" t="s">
        <v>414</v>
      </c>
      <c r="L69" s="201"/>
      <c r="N69" s="14" t="s">
        <v>415</v>
      </c>
    </row>
    <row r="70" spans="1:15" ht="21.95" customHeight="1">
      <c r="A70" s="72">
        <v>45</v>
      </c>
      <c r="B70" s="6" t="s">
        <v>416</v>
      </c>
      <c r="C70" s="1" t="s">
        <v>120</v>
      </c>
      <c r="D70" s="230" t="s">
        <v>131</v>
      </c>
      <c r="E70" s="1" t="s">
        <v>238</v>
      </c>
      <c r="F70" s="1" t="s">
        <v>410</v>
      </c>
      <c r="G70" s="6" t="s">
        <v>417</v>
      </c>
      <c r="H70" s="73" t="s">
        <v>134</v>
      </c>
      <c r="I70" s="5" t="s">
        <v>418</v>
      </c>
      <c r="J70" s="6" t="s">
        <v>419</v>
      </c>
      <c r="L70" s="201" t="s">
        <v>420</v>
      </c>
      <c r="N70" s="14" t="s">
        <v>421</v>
      </c>
    </row>
    <row r="71" spans="1:15" s="134" customFormat="1" ht="21.95" customHeight="1">
      <c r="A71" s="132" t="s">
        <v>422</v>
      </c>
      <c r="B71" s="132"/>
      <c r="C71" s="132"/>
      <c r="D71" s="132"/>
      <c r="E71" s="133"/>
      <c r="F71" s="132"/>
      <c r="G71" s="132"/>
      <c r="H71" s="132"/>
      <c r="I71" s="132"/>
      <c r="J71" s="132"/>
      <c r="K71" s="132"/>
      <c r="L71" s="132"/>
      <c r="M71" s="132"/>
      <c r="N71" s="132"/>
    </row>
    <row r="72" spans="1:15" ht="21.95" customHeight="1">
      <c r="D72" s="135"/>
    </row>
    <row r="73" spans="1:15" ht="21.95" customHeight="1">
      <c r="A73" s="314" t="s">
        <v>423</v>
      </c>
      <c r="B73" s="315"/>
      <c r="C73" s="316"/>
      <c r="D73" s="136"/>
      <c r="L73" s="63"/>
    </row>
    <row r="74" spans="1:15">
      <c r="D74" s="14"/>
    </row>
    <row r="75" spans="1:15" ht="20.25">
      <c r="B75" s="137"/>
      <c r="C75" s="138"/>
      <c r="D75" s="139"/>
    </row>
  </sheetData>
  <mergeCells count="13">
    <mergeCell ref="I4:L4"/>
    <mergeCell ref="N4:N5"/>
    <mergeCell ref="A73:C73"/>
    <mergeCell ref="D2:F3"/>
    <mergeCell ref="G2:H3"/>
    <mergeCell ref="I2:L3"/>
    <mergeCell ref="A4:A5"/>
    <mergeCell ref="B4:B5"/>
    <mergeCell ref="C4:C5"/>
    <mergeCell ref="D4:D5"/>
    <mergeCell ref="E4:E5"/>
    <mergeCell ref="F4:F5"/>
    <mergeCell ref="H4:H5"/>
  </mergeCells>
  <hyperlinks>
    <hyperlink ref="L51" r:id="rId1" xr:uid="{802F6034-A2D3-48AB-9510-C2E081E51037}"/>
    <hyperlink ref="L15" r:id="rId2" xr:uid="{BE464DB9-BF2C-4D38-811A-DE411FDE0307}"/>
    <hyperlink ref="L16" r:id="rId3" xr:uid="{80E6CC59-FAB8-45A5-821C-5D45D2E7BCA6}"/>
    <hyperlink ref="L17" r:id="rId4" xr:uid="{ACA76899-E3C1-4F97-9A08-0AD0A8A9533E}"/>
    <hyperlink ref="L38" r:id="rId5" xr:uid="{9D7CE40B-C5D6-4912-9E2B-3BBAFDE3DB7C}"/>
  </hyperlink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4695-EEA5-4AEF-A3CD-A9D3790554A9}">
  <dimension ref="A1:YX123"/>
  <sheetViews>
    <sheetView zoomScale="80" zoomScaleNormal="80" workbookViewId="0">
      <pane xSplit="6" ySplit="5" topLeftCell="K48" activePane="bottomRight" state="frozen"/>
      <selection pane="topRight" activeCell="G1" sqref="G1"/>
      <selection pane="bottomLeft" activeCell="A6" sqref="A6"/>
      <selection pane="bottomRight" activeCell="M47" sqref="M47:N121"/>
    </sheetView>
  </sheetViews>
  <sheetFormatPr defaultColWidth="9.140625" defaultRowHeight="12.75"/>
  <cols>
    <col min="1" max="1" width="5.140625" style="1" bestFit="1" customWidth="1"/>
    <col min="2" max="2" width="46.28515625" style="59" customWidth="1"/>
    <col min="3" max="3" width="10.7109375" style="3" bestFit="1" customWidth="1"/>
    <col min="4" max="4" width="17.28515625" style="2" customWidth="1"/>
    <col min="5" max="5" width="22" style="2" customWidth="1"/>
    <col min="6" max="6" width="24.28515625" style="4" customWidth="1"/>
    <col min="7" max="7" width="29.42578125" style="2" customWidth="1"/>
    <col min="8" max="8" width="22" style="2" customWidth="1"/>
    <col min="9" max="9" width="16.85546875" style="4" customWidth="1"/>
    <col min="10" max="10" width="26" style="4" customWidth="1"/>
    <col min="11" max="11" width="22.28515625" style="5" customWidth="1"/>
    <col min="12" max="12" width="16" style="6" customWidth="1"/>
    <col min="13" max="13" width="15.140625" style="1" bestFit="1" customWidth="1"/>
    <col min="14" max="14" width="35" style="7" bestFit="1" customWidth="1"/>
    <col min="15" max="15" width="15.28515625" style="8" customWidth="1"/>
    <col min="16" max="16" width="119" style="14" bestFit="1" customWidth="1"/>
    <col min="17" max="43" width="9.140625" style="14"/>
    <col min="44" max="16384" width="9.140625" style="2"/>
  </cols>
  <sheetData>
    <row r="1" spans="1:16" ht="12.6" customHeight="1">
      <c r="B1" s="140"/>
    </row>
    <row r="2" spans="1:16" ht="46.9" customHeight="1">
      <c r="A2" s="9"/>
      <c r="B2" s="141"/>
      <c r="C2" s="10"/>
      <c r="D2" s="340" t="s">
        <v>7</v>
      </c>
      <c r="E2" s="340"/>
      <c r="F2" s="340"/>
      <c r="G2" s="340"/>
      <c r="H2" s="340"/>
      <c r="I2" s="341" t="s">
        <v>424</v>
      </c>
      <c r="J2" s="341"/>
      <c r="K2" s="342" t="s">
        <v>425</v>
      </c>
      <c r="L2" s="343"/>
      <c r="M2" s="343"/>
      <c r="N2" s="343"/>
      <c r="O2" s="344"/>
      <c r="P2" s="15"/>
    </row>
    <row r="3" spans="1:16" ht="37.15" customHeight="1">
      <c r="B3" s="142" t="s">
        <v>2</v>
      </c>
      <c r="C3" s="11"/>
      <c r="D3" s="340"/>
      <c r="E3" s="340"/>
      <c r="F3" s="340"/>
      <c r="G3" s="340"/>
      <c r="H3" s="340"/>
      <c r="I3" s="341"/>
      <c r="J3" s="341"/>
      <c r="K3" s="345"/>
      <c r="L3" s="346"/>
      <c r="M3" s="346"/>
      <c r="N3" s="346"/>
      <c r="O3" s="347"/>
      <c r="P3" s="15"/>
    </row>
    <row r="4" spans="1:16" s="13" customFormat="1" ht="45.75" customHeight="1">
      <c r="A4" s="327" t="s">
        <v>1</v>
      </c>
      <c r="B4" s="329" t="s">
        <v>9</v>
      </c>
      <c r="C4" s="329" t="s">
        <v>10</v>
      </c>
      <c r="D4" s="331" t="s">
        <v>11</v>
      </c>
      <c r="E4" s="332"/>
      <c r="F4" s="333" t="s">
        <v>14</v>
      </c>
      <c r="G4" s="333" t="s">
        <v>15</v>
      </c>
      <c r="H4" s="348" t="s">
        <v>426</v>
      </c>
      <c r="I4" s="143" t="s">
        <v>18</v>
      </c>
      <c r="J4" s="335" t="s">
        <v>17</v>
      </c>
      <c r="K4" s="337" t="s">
        <v>6</v>
      </c>
      <c r="L4" s="338"/>
      <c r="M4" s="338"/>
      <c r="N4" s="339"/>
      <c r="O4" s="12"/>
      <c r="P4" s="327" t="s">
        <v>19</v>
      </c>
    </row>
    <row r="5" spans="1:16" s="13" customFormat="1" ht="76.5" customHeight="1">
      <c r="A5" s="328"/>
      <c r="B5" s="330"/>
      <c r="C5" s="330"/>
      <c r="D5" s="19" t="s">
        <v>12</v>
      </c>
      <c r="E5" s="19" t="s">
        <v>13</v>
      </c>
      <c r="F5" s="334"/>
      <c r="G5" s="334"/>
      <c r="H5" s="349"/>
      <c r="I5" s="144" t="s">
        <v>16</v>
      </c>
      <c r="J5" s="336"/>
      <c r="K5" s="143" t="s">
        <v>3</v>
      </c>
      <c r="L5" s="145" t="s">
        <v>4</v>
      </c>
      <c r="M5" s="146" t="s">
        <v>5</v>
      </c>
      <c r="N5" s="143" t="s">
        <v>0</v>
      </c>
      <c r="O5" s="12"/>
      <c r="P5" s="328"/>
    </row>
    <row r="6" spans="1:16" s="147" customFormat="1" ht="25.5" customHeight="1">
      <c r="B6" s="148" t="s">
        <v>123</v>
      </c>
      <c r="J6" s="149"/>
    </row>
    <row r="7" spans="1:16" s="162" customFormat="1" ht="19.5" customHeight="1">
      <c r="A7" s="150">
        <v>1</v>
      </c>
      <c r="B7" s="151" t="s">
        <v>427</v>
      </c>
      <c r="C7" s="152" t="s">
        <v>161</v>
      </c>
      <c r="D7" s="153"/>
      <c r="E7" s="154"/>
      <c r="F7" s="155" t="s">
        <v>428</v>
      </c>
      <c r="G7" s="152" t="s">
        <v>123</v>
      </c>
      <c r="H7" s="154"/>
      <c r="I7" s="156" t="s">
        <v>429</v>
      </c>
      <c r="J7" s="157" t="s">
        <v>430</v>
      </c>
      <c r="K7" s="158"/>
      <c r="L7" s="159" t="s">
        <v>431</v>
      </c>
      <c r="M7" s="156"/>
      <c r="N7" s="160" t="s">
        <v>432</v>
      </c>
      <c r="O7" s="161"/>
    </row>
    <row r="8" spans="1:16" s="162" customFormat="1" ht="19.5" customHeight="1">
      <c r="A8" s="150">
        <v>2</v>
      </c>
      <c r="B8" s="151" t="s">
        <v>433</v>
      </c>
      <c r="C8" s="152" t="s">
        <v>138</v>
      </c>
      <c r="D8" s="153"/>
      <c r="E8" s="154"/>
      <c r="F8" s="155" t="s">
        <v>434</v>
      </c>
      <c r="G8" s="152" t="s">
        <v>123</v>
      </c>
      <c r="H8" s="154"/>
      <c r="I8" s="156" t="s">
        <v>435</v>
      </c>
      <c r="J8" s="157" t="s">
        <v>436</v>
      </c>
      <c r="K8" s="158"/>
      <c r="L8" s="159" t="s">
        <v>437</v>
      </c>
      <c r="M8" s="156"/>
      <c r="N8" s="160" t="s">
        <v>438</v>
      </c>
      <c r="O8" s="161"/>
    </row>
    <row r="9" spans="1:16" s="162" customFormat="1" ht="19.5" customHeight="1">
      <c r="A9" s="150">
        <v>3</v>
      </c>
      <c r="B9" s="151" t="s">
        <v>439</v>
      </c>
      <c r="C9" s="152" t="s">
        <v>161</v>
      </c>
      <c r="D9" s="153"/>
      <c r="E9" s="154"/>
      <c r="F9" s="155" t="s">
        <v>440</v>
      </c>
      <c r="G9" s="152" t="s">
        <v>123</v>
      </c>
      <c r="H9" s="154"/>
      <c r="I9" s="156" t="s">
        <v>441</v>
      </c>
      <c r="J9" s="157" t="s">
        <v>442</v>
      </c>
      <c r="K9" s="158"/>
      <c r="L9" s="159" t="s">
        <v>443</v>
      </c>
      <c r="M9" s="156"/>
      <c r="N9" s="160" t="s">
        <v>444</v>
      </c>
      <c r="O9" s="161"/>
    </row>
    <row r="10" spans="1:16" s="162" customFormat="1" ht="19.5" customHeight="1">
      <c r="A10" s="150">
        <v>4</v>
      </c>
      <c r="B10" s="151" t="s">
        <v>445</v>
      </c>
      <c r="C10" s="152" t="s">
        <v>161</v>
      </c>
      <c r="D10" s="153"/>
      <c r="E10" s="154"/>
      <c r="F10" s="155" t="s">
        <v>446</v>
      </c>
      <c r="G10" s="152" t="s">
        <v>123</v>
      </c>
      <c r="H10" s="154"/>
      <c r="I10" s="156" t="s">
        <v>447</v>
      </c>
      <c r="J10" s="157" t="s">
        <v>442</v>
      </c>
      <c r="K10" s="158"/>
      <c r="L10" s="159" t="s">
        <v>448</v>
      </c>
      <c r="M10" s="156"/>
      <c r="N10" s="160" t="s">
        <v>449</v>
      </c>
      <c r="O10" s="161"/>
    </row>
    <row r="11" spans="1:16" s="162" customFormat="1" ht="19.5" customHeight="1">
      <c r="A11" s="150">
        <v>5</v>
      </c>
      <c r="B11" s="151" t="s">
        <v>450</v>
      </c>
      <c r="C11" s="152" t="s">
        <v>138</v>
      </c>
      <c r="D11" s="153"/>
      <c r="E11" s="154"/>
      <c r="F11" s="155" t="s">
        <v>451</v>
      </c>
      <c r="G11" s="152" t="s">
        <v>123</v>
      </c>
      <c r="H11" s="154"/>
      <c r="I11" s="156" t="s">
        <v>452</v>
      </c>
      <c r="J11" s="157" t="s">
        <v>442</v>
      </c>
      <c r="K11" s="158"/>
      <c r="L11" s="159" t="s">
        <v>453</v>
      </c>
      <c r="M11" s="156"/>
      <c r="N11" s="160" t="s">
        <v>454</v>
      </c>
      <c r="O11" s="161"/>
    </row>
    <row r="12" spans="1:16" s="162" customFormat="1" ht="19.5" customHeight="1">
      <c r="A12" s="150">
        <v>6</v>
      </c>
      <c r="B12" s="151" t="s">
        <v>455</v>
      </c>
      <c r="C12" s="152" t="s">
        <v>161</v>
      </c>
      <c r="D12" s="153"/>
      <c r="E12" s="154"/>
      <c r="F12" s="155" t="s">
        <v>456</v>
      </c>
      <c r="G12" s="152" t="s">
        <v>123</v>
      </c>
      <c r="H12" s="154"/>
      <c r="I12" s="156" t="s">
        <v>457</v>
      </c>
      <c r="J12" s="157" t="s">
        <v>430</v>
      </c>
      <c r="K12" s="158"/>
      <c r="L12" s="159" t="s">
        <v>458</v>
      </c>
      <c r="M12" s="156"/>
      <c r="N12" s="160" t="s">
        <v>459</v>
      </c>
      <c r="O12" s="161"/>
    </row>
    <row r="13" spans="1:16" s="162" customFormat="1" ht="19.5" customHeight="1">
      <c r="A13" s="150">
        <v>7</v>
      </c>
      <c r="B13" s="151" t="s">
        <v>460</v>
      </c>
      <c r="C13" s="152" t="s">
        <v>138</v>
      </c>
      <c r="D13" s="153"/>
      <c r="E13" s="154"/>
      <c r="F13" s="155" t="s">
        <v>461</v>
      </c>
      <c r="G13" s="152" t="s">
        <v>123</v>
      </c>
      <c r="H13" s="154"/>
      <c r="I13" s="156" t="s">
        <v>286</v>
      </c>
      <c r="J13" s="157" t="s">
        <v>430</v>
      </c>
      <c r="K13" s="158"/>
      <c r="L13" s="159" t="s">
        <v>462</v>
      </c>
      <c r="M13" s="156"/>
      <c r="N13" s="160" t="s">
        <v>463</v>
      </c>
      <c r="O13" s="161"/>
    </row>
    <row r="14" spans="1:16" s="162" customFormat="1" ht="19.5" customHeight="1">
      <c r="A14" s="150">
        <v>8</v>
      </c>
      <c r="B14" s="151" t="s">
        <v>464</v>
      </c>
      <c r="C14" s="152" t="s">
        <v>161</v>
      </c>
      <c r="D14" s="153"/>
      <c r="E14" s="154"/>
      <c r="F14" s="155" t="s">
        <v>465</v>
      </c>
      <c r="G14" s="152" t="s">
        <v>123</v>
      </c>
      <c r="H14" s="154"/>
      <c r="I14" s="156" t="s">
        <v>417</v>
      </c>
      <c r="J14" s="157" t="s">
        <v>442</v>
      </c>
      <c r="K14" s="158"/>
      <c r="L14" s="159" t="s">
        <v>466</v>
      </c>
      <c r="M14" s="159" t="s">
        <v>466</v>
      </c>
      <c r="N14" s="163" t="s">
        <v>467</v>
      </c>
      <c r="O14" s="161"/>
    </row>
    <row r="15" spans="1:16" s="162" customFormat="1" ht="19.5" customHeight="1">
      <c r="A15" s="150">
        <v>9</v>
      </c>
      <c r="B15" s="151" t="s">
        <v>468</v>
      </c>
      <c r="C15" s="152" t="s">
        <v>161</v>
      </c>
      <c r="D15" s="153"/>
      <c r="E15" s="154"/>
      <c r="F15" s="155" t="s">
        <v>469</v>
      </c>
      <c r="G15" s="152" t="s">
        <v>123</v>
      </c>
      <c r="H15" s="154"/>
      <c r="I15" s="156" t="s">
        <v>470</v>
      </c>
      <c r="J15" s="157" t="s">
        <v>442</v>
      </c>
      <c r="K15" s="158"/>
      <c r="L15" s="159" t="s">
        <v>471</v>
      </c>
      <c r="M15" s="159" t="s">
        <v>471</v>
      </c>
      <c r="N15" s="163" t="s">
        <v>467</v>
      </c>
      <c r="O15" s="161"/>
    </row>
    <row r="16" spans="1:16" s="162" customFormat="1" ht="19.5" customHeight="1">
      <c r="A16" s="150"/>
      <c r="B16" s="151" t="s">
        <v>472</v>
      </c>
      <c r="C16" s="152" t="s">
        <v>467</v>
      </c>
      <c r="D16" s="153"/>
      <c r="E16" s="154"/>
      <c r="F16" s="155" t="s">
        <v>473</v>
      </c>
      <c r="G16" s="152" t="s">
        <v>123</v>
      </c>
      <c r="H16" s="154"/>
      <c r="I16" s="156" t="s">
        <v>474</v>
      </c>
      <c r="J16" s="157" t="s">
        <v>442</v>
      </c>
      <c r="K16" s="158"/>
      <c r="L16" s="159" t="s">
        <v>475</v>
      </c>
      <c r="M16" s="159"/>
      <c r="N16" s="163"/>
      <c r="O16" s="161"/>
    </row>
    <row r="17" spans="1:674" s="162" customFormat="1" ht="19.5" customHeight="1">
      <c r="A17" s="150"/>
      <c r="B17" s="151"/>
      <c r="C17" s="152"/>
      <c r="D17" s="153"/>
      <c r="E17" s="154"/>
      <c r="F17" s="155"/>
      <c r="G17" s="152"/>
      <c r="H17" s="154"/>
      <c r="I17" s="156" t="s">
        <v>476</v>
      </c>
      <c r="J17" s="157" t="s">
        <v>477</v>
      </c>
      <c r="K17" s="158"/>
      <c r="L17" s="159"/>
      <c r="M17" s="159"/>
      <c r="N17" s="163"/>
      <c r="O17" s="161"/>
    </row>
    <row r="18" spans="1:674" s="162" customFormat="1" ht="19.5" customHeight="1">
      <c r="A18" s="150">
        <v>10</v>
      </c>
      <c r="B18" s="151" t="s">
        <v>478</v>
      </c>
      <c r="C18" s="152" t="s">
        <v>161</v>
      </c>
      <c r="D18" s="153"/>
      <c r="E18" s="154"/>
      <c r="F18" s="155" t="s">
        <v>473</v>
      </c>
      <c r="G18" s="152" t="s">
        <v>123</v>
      </c>
      <c r="H18" s="154"/>
      <c r="I18" s="156" t="s">
        <v>479</v>
      </c>
      <c r="J18" s="157" t="s">
        <v>442</v>
      </c>
      <c r="K18" s="158"/>
      <c r="L18" s="159" t="s">
        <v>480</v>
      </c>
      <c r="M18" s="159"/>
      <c r="N18" s="163"/>
      <c r="O18" s="161"/>
    </row>
    <row r="19" spans="1:674" s="162" customFormat="1" ht="19.5" customHeight="1">
      <c r="A19" s="150">
        <v>11</v>
      </c>
      <c r="B19" s="151" t="s">
        <v>481</v>
      </c>
      <c r="C19" s="152" t="s">
        <v>467</v>
      </c>
      <c r="D19" s="153"/>
      <c r="E19" s="154"/>
      <c r="F19" s="155" t="s">
        <v>473</v>
      </c>
      <c r="G19" s="152" t="s">
        <v>123</v>
      </c>
      <c r="H19" s="154"/>
      <c r="I19" s="156" t="s">
        <v>482</v>
      </c>
      <c r="J19" s="157" t="s">
        <v>8</v>
      </c>
      <c r="K19" s="158"/>
      <c r="L19" s="159" t="s">
        <v>483</v>
      </c>
      <c r="M19" s="159"/>
      <c r="N19" s="163"/>
      <c r="O19" s="161"/>
    </row>
    <row r="20" spans="1:674" s="162" customFormat="1" ht="19.5" customHeight="1">
      <c r="A20" s="150">
        <v>12</v>
      </c>
      <c r="B20" s="151" t="s">
        <v>484</v>
      </c>
      <c r="C20" s="152" t="s">
        <v>467</v>
      </c>
      <c r="D20" s="153"/>
      <c r="E20" s="154"/>
      <c r="F20" s="155" t="s">
        <v>473</v>
      </c>
      <c r="G20" s="152" t="s">
        <v>123</v>
      </c>
      <c r="H20" s="154"/>
      <c r="I20" s="156" t="s">
        <v>482</v>
      </c>
      <c r="J20" s="157" t="s">
        <v>8</v>
      </c>
      <c r="K20" s="158"/>
      <c r="L20" s="159" t="s">
        <v>485</v>
      </c>
      <c r="M20" s="159"/>
      <c r="N20" s="163"/>
      <c r="O20" s="161"/>
    </row>
    <row r="21" spans="1:674" s="162" customFormat="1" ht="19.5" customHeight="1">
      <c r="A21" s="150">
        <v>13</v>
      </c>
      <c r="B21" s="151" t="s">
        <v>486</v>
      </c>
      <c r="C21" s="152" t="s">
        <v>467</v>
      </c>
      <c r="D21" s="153"/>
      <c r="E21" s="154"/>
      <c r="F21" s="155" t="s">
        <v>473</v>
      </c>
      <c r="G21" s="152" t="s">
        <v>123</v>
      </c>
      <c r="H21" s="154"/>
      <c r="I21" s="156" t="s">
        <v>487</v>
      </c>
      <c r="J21" s="157" t="s">
        <v>8</v>
      </c>
      <c r="K21" s="158"/>
      <c r="L21" s="159" t="s">
        <v>488</v>
      </c>
      <c r="M21" s="159"/>
      <c r="N21" s="163"/>
      <c r="O21" s="161"/>
    </row>
    <row r="22" spans="1:674" s="162" customFormat="1" ht="19.5" customHeight="1">
      <c r="A22" s="150">
        <v>14</v>
      </c>
      <c r="B22" s="151" t="s">
        <v>489</v>
      </c>
      <c r="C22" s="152" t="s">
        <v>161</v>
      </c>
      <c r="D22" s="153"/>
      <c r="E22" s="154"/>
      <c r="F22" s="155" t="s">
        <v>473</v>
      </c>
      <c r="G22" s="152" t="s">
        <v>123</v>
      </c>
      <c r="H22" s="154"/>
      <c r="I22" s="156" t="s">
        <v>490</v>
      </c>
      <c r="J22" s="157" t="s">
        <v>442</v>
      </c>
      <c r="K22" s="158"/>
      <c r="L22" s="159" t="s">
        <v>491</v>
      </c>
      <c r="M22" s="159"/>
      <c r="N22" s="163"/>
      <c r="O22" s="161"/>
    </row>
    <row r="23" spans="1:674" s="162" customFormat="1" ht="19.5" customHeight="1">
      <c r="A23" s="150">
        <v>15</v>
      </c>
      <c r="B23" s="151" t="s">
        <v>492</v>
      </c>
      <c r="C23" s="152" t="s">
        <v>467</v>
      </c>
      <c r="D23" s="153"/>
      <c r="E23" s="154"/>
      <c r="F23" s="155" t="s">
        <v>473</v>
      </c>
      <c r="G23" s="152" t="s">
        <v>123</v>
      </c>
      <c r="H23" s="154"/>
      <c r="I23" s="156" t="s">
        <v>493</v>
      </c>
      <c r="J23" s="157" t="s">
        <v>442</v>
      </c>
      <c r="K23" s="158"/>
      <c r="L23" s="159" t="s">
        <v>494</v>
      </c>
      <c r="M23" s="159"/>
      <c r="N23" s="163"/>
      <c r="O23" s="161"/>
    </row>
    <row r="24" spans="1:674" s="162" customFormat="1" ht="19.5" customHeight="1">
      <c r="A24" s="150"/>
      <c r="B24" s="151" t="s">
        <v>495</v>
      </c>
      <c r="C24" s="152" t="s">
        <v>467</v>
      </c>
      <c r="D24" s="153"/>
      <c r="E24" s="154"/>
      <c r="F24" s="155" t="s">
        <v>473</v>
      </c>
      <c r="G24" s="152" t="s">
        <v>123</v>
      </c>
      <c r="H24" s="154"/>
      <c r="I24" s="156" t="s">
        <v>496</v>
      </c>
      <c r="J24" s="157" t="s">
        <v>497</v>
      </c>
      <c r="K24" s="158"/>
      <c r="L24" s="159" t="s">
        <v>498</v>
      </c>
      <c r="M24" s="159"/>
      <c r="N24" s="163"/>
      <c r="O24" s="161"/>
    </row>
    <row r="25" spans="1:674" s="162" customFormat="1" ht="19.5" customHeight="1">
      <c r="A25" s="150">
        <v>16</v>
      </c>
      <c r="B25" s="151" t="s">
        <v>499</v>
      </c>
      <c r="C25" s="152" t="s">
        <v>467</v>
      </c>
      <c r="D25" s="153"/>
      <c r="E25" s="154"/>
      <c r="F25" s="155" t="s">
        <v>473</v>
      </c>
      <c r="G25" s="152" t="s">
        <v>123</v>
      </c>
      <c r="H25" s="154"/>
      <c r="I25" s="156" t="s">
        <v>500</v>
      </c>
      <c r="J25" s="157" t="s">
        <v>501</v>
      </c>
      <c r="K25" s="158"/>
      <c r="L25" s="159" t="s">
        <v>502</v>
      </c>
      <c r="M25" s="159"/>
      <c r="N25" s="163"/>
      <c r="O25" s="161"/>
    </row>
    <row r="26" spans="1:674" s="162" customFormat="1" ht="19.5" customHeight="1">
      <c r="A26" s="150">
        <v>17</v>
      </c>
      <c r="B26" s="151" t="s">
        <v>503</v>
      </c>
      <c r="C26" s="152" t="s">
        <v>467</v>
      </c>
      <c r="D26" s="153"/>
      <c r="E26" s="154"/>
      <c r="F26" s="155" t="s">
        <v>132</v>
      </c>
      <c r="G26" s="152" t="s">
        <v>123</v>
      </c>
      <c r="H26" s="154"/>
      <c r="I26" s="156" t="s">
        <v>504</v>
      </c>
      <c r="J26" s="157" t="s">
        <v>442</v>
      </c>
      <c r="K26" s="158"/>
      <c r="L26" s="159" t="s">
        <v>505</v>
      </c>
      <c r="M26" s="159"/>
      <c r="N26" s="163"/>
      <c r="O26" s="161"/>
    </row>
    <row r="27" spans="1:674" s="162" customFormat="1" ht="19.149999999999999" customHeight="1">
      <c r="A27" s="150">
        <v>18</v>
      </c>
      <c r="B27" s="151" t="s">
        <v>506</v>
      </c>
      <c r="C27" s="152" t="s">
        <v>467</v>
      </c>
      <c r="D27" s="153"/>
      <c r="E27" s="154"/>
      <c r="F27" s="155" t="s">
        <v>473</v>
      </c>
      <c r="G27" s="152" t="s">
        <v>123</v>
      </c>
      <c r="H27" s="154"/>
      <c r="I27" s="156" t="s">
        <v>507</v>
      </c>
      <c r="J27" s="157" t="s">
        <v>442</v>
      </c>
      <c r="K27" s="158"/>
      <c r="L27" s="159"/>
      <c r="M27" s="159"/>
      <c r="N27" s="163"/>
      <c r="O27" s="161"/>
    </row>
    <row r="28" spans="1:674" s="162" customFormat="1" ht="19.5" customHeight="1">
      <c r="A28" s="150">
        <v>19</v>
      </c>
      <c r="B28" s="151" t="s">
        <v>508</v>
      </c>
      <c r="C28" s="152" t="s">
        <v>467</v>
      </c>
      <c r="D28" s="153"/>
      <c r="E28" s="154"/>
      <c r="F28" s="155" t="s">
        <v>473</v>
      </c>
      <c r="G28" s="152" t="s">
        <v>123</v>
      </c>
      <c r="H28" s="154"/>
      <c r="I28" s="156" t="s">
        <v>509</v>
      </c>
      <c r="J28" s="157" t="s">
        <v>497</v>
      </c>
      <c r="K28" s="158"/>
      <c r="L28" s="159"/>
      <c r="M28" s="159"/>
      <c r="N28" s="163"/>
      <c r="O28" s="161"/>
    </row>
    <row r="29" spans="1:674" s="147" customFormat="1" ht="46.15" customHeight="1">
      <c r="A29" s="147">
        <v>20</v>
      </c>
      <c r="B29" s="151" t="s">
        <v>510</v>
      </c>
      <c r="C29" s="152"/>
      <c r="D29" s="153"/>
      <c r="E29" s="154"/>
      <c r="F29" s="155"/>
      <c r="G29" s="152" t="s">
        <v>123</v>
      </c>
      <c r="H29" s="154"/>
      <c r="I29" s="156" t="s">
        <v>511</v>
      </c>
      <c r="J29" s="157"/>
      <c r="K29" s="158"/>
      <c r="L29" s="159"/>
      <c r="M29" s="159"/>
      <c r="N29" s="163"/>
      <c r="O29" s="161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2"/>
      <c r="AQ29" s="162"/>
      <c r="AR29" s="162"/>
      <c r="AS29" s="162"/>
      <c r="AT29" s="162"/>
      <c r="AU29" s="162"/>
      <c r="AV29" s="162"/>
      <c r="AW29" s="162"/>
      <c r="AX29" s="162"/>
      <c r="AY29" s="162"/>
      <c r="AZ29" s="162"/>
      <c r="BA29" s="162"/>
      <c r="BB29" s="162"/>
      <c r="BC29" s="162"/>
      <c r="BD29" s="162"/>
      <c r="BE29" s="162"/>
      <c r="BF29" s="162"/>
      <c r="BG29" s="162"/>
      <c r="BH29" s="162"/>
      <c r="BI29" s="162"/>
      <c r="BJ29" s="162"/>
      <c r="BK29" s="162"/>
      <c r="BL29" s="162"/>
      <c r="BM29" s="162"/>
      <c r="BN29" s="162"/>
      <c r="BO29" s="162"/>
      <c r="BP29" s="162"/>
      <c r="BQ29" s="162"/>
      <c r="BR29" s="162"/>
      <c r="BS29" s="162"/>
      <c r="BT29" s="162"/>
      <c r="BU29" s="162"/>
      <c r="BV29" s="162"/>
      <c r="BW29" s="162"/>
      <c r="BX29" s="162"/>
      <c r="BY29" s="162"/>
      <c r="BZ29" s="162"/>
      <c r="CA29" s="162"/>
      <c r="CB29" s="162"/>
      <c r="CC29" s="162"/>
      <c r="CD29" s="162"/>
      <c r="CE29" s="162"/>
      <c r="CF29" s="162"/>
      <c r="CG29" s="162"/>
      <c r="CH29" s="162"/>
      <c r="CI29" s="162"/>
      <c r="CJ29" s="162"/>
      <c r="CK29" s="162"/>
      <c r="CL29" s="162"/>
      <c r="CM29" s="162"/>
      <c r="CN29" s="162"/>
      <c r="CO29" s="162"/>
      <c r="CP29" s="162"/>
      <c r="CQ29" s="162"/>
      <c r="CR29" s="162"/>
      <c r="CS29" s="162"/>
      <c r="CT29" s="162"/>
      <c r="CU29" s="162"/>
      <c r="CV29" s="162"/>
      <c r="CW29" s="162"/>
      <c r="CX29" s="162"/>
      <c r="CY29" s="162"/>
      <c r="CZ29" s="162"/>
      <c r="DA29" s="162"/>
      <c r="DB29" s="162"/>
      <c r="DC29" s="162"/>
      <c r="DD29" s="162"/>
      <c r="DE29" s="162"/>
      <c r="DF29" s="162"/>
      <c r="DG29" s="162"/>
      <c r="DH29" s="162"/>
      <c r="DI29" s="162"/>
      <c r="DJ29" s="162"/>
      <c r="DK29" s="162"/>
      <c r="DL29" s="162"/>
      <c r="DM29" s="162"/>
      <c r="DN29" s="162"/>
      <c r="DO29" s="162"/>
      <c r="DP29" s="162"/>
      <c r="DQ29" s="162"/>
      <c r="DR29" s="162"/>
      <c r="DS29" s="162"/>
      <c r="DT29" s="162"/>
      <c r="DU29" s="162"/>
      <c r="DV29" s="162"/>
      <c r="DW29" s="162"/>
      <c r="DX29" s="162"/>
      <c r="DY29" s="162"/>
      <c r="DZ29" s="162"/>
      <c r="EA29" s="162"/>
      <c r="EB29" s="162"/>
      <c r="EC29" s="162"/>
      <c r="ED29" s="162"/>
      <c r="EE29" s="162"/>
      <c r="EF29" s="162"/>
      <c r="EG29" s="162"/>
      <c r="EH29" s="162"/>
      <c r="EI29" s="162"/>
      <c r="EJ29" s="162"/>
      <c r="EK29" s="162"/>
      <c r="EL29" s="162"/>
      <c r="EM29" s="162"/>
      <c r="EN29" s="162"/>
      <c r="EO29" s="162"/>
      <c r="EP29" s="162"/>
      <c r="EQ29" s="162"/>
      <c r="ER29" s="162"/>
      <c r="ES29" s="162"/>
      <c r="ET29" s="162"/>
      <c r="EU29" s="162"/>
      <c r="EV29" s="162"/>
      <c r="EW29" s="162"/>
      <c r="EX29" s="162"/>
      <c r="EY29" s="162"/>
      <c r="EZ29" s="162"/>
      <c r="FA29" s="162"/>
      <c r="FB29" s="162"/>
      <c r="FC29" s="162"/>
      <c r="FD29" s="162"/>
      <c r="FE29" s="162"/>
      <c r="FF29" s="162"/>
      <c r="FG29" s="162"/>
      <c r="FH29" s="162"/>
      <c r="FI29" s="162"/>
      <c r="FJ29" s="162"/>
      <c r="FK29" s="162"/>
      <c r="FL29" s="162"/>
      <c r="FM29" s="162"/>
      <c r="FN29" s="162"/>
      <c r="FO29" s="162"/>
      <c r="FP29" s="162"/>
      <c r="FQ29" s="162"/>
      <c r="FR29" s="162"/>
      <c r="FS29" s="162"/>
      <c r="FT29" s="162"/>
      <c r="FU29" s="162"/>
      <c r="FV29" s="162"/>
      <c r="FW29" s="162"/>
      <c r="FX29" s="162"/>
      <c r="FY29" s="162"/>
      <c r="FZ29" s="162"/>
      <c r="GA29" s="162"/>
      <c r="GB29" s="162"/>
      <c r="GC29" s="162"/>
      <c r="GD29" s="162"/>
      <c r="GE29" s="162"/>
      <c r="GF29" s="162"/>
      <c r="GG29" s="162"/>
      <c r="GH29" s="162"/>
      <c r="GI29" s="162"/>
      <c r="GJ29" s="162"/>
      <c r="GK29" s="162"/>
      <c r="GL29" s="162"/>
      <c r="GM29" s="162"/>
      <c r="GN29" s="162"/>
      <c r="GO29" s="162"/>
      <c r="GP29" s="162"/>
      <c r="GQ29" s="162"/>
      <c r="GR29" s="162"/>
      <c r="GS29" s="162"/>
      <c r="GT29" s="162"/>
      <c r="GU29" s="162"/>
      <c r="GV29" s="162"/>
      <c r="GW29" s="162"/>
      <c r="GX29" s="162"/>
      <c r="GY29" s="162"/>
      <c r="GZ29" s="162"/>
      <c r="HA29" s="162"/>
      <c r="HB29" s="162"/>
      <c r="HC29" s="162"/>
      <c r="HD29" s="162"/>
      <c r="HE29" s="162"/>
      <c r="HF29" s="162"/>
      <c r="HG29" s="162"/>
      <c r="HH29" s="162"/>
      <c r="HI29" s="162"/>
      <c r="HJ29" s="162"/>
      <c r="HK29" s="162"/>
      <c r="HL29" s="162"/>
      <c r="HM29" s="162"/>
      <c r="HN29" s="162"/>
      <c r="HO29" s="162"/>
      <c r="HP29" s="162"/>
      <c r="HQ29" s="162"/>
      <c r="HR29" s="162"/>
      <c r="HS29" s="162"/>
      <c r="HT29" s="162"/>
      <c r="HU29" s="162"/>
      <c r="HV29" s="162"/>
      <c r="HW29" s="162"/>
      <c r="HX29" s="162"/>
      <c r="HY29" s="162"/>
      <c r="HZ29" s="162"/>
      <c r="IA29" s="162"/>
      <c r="IB29" s="162"/>
      <c r="IC29" s="162"/>
      <c r="ID29" s="162"/>
      <c r="IE29" s="162"/>
      <c r="IF29" s="162"/>
      <c r="IG29" s="162"/>
      <c r="IH29" s="162"/>
      <c r="II29" s="162"/>
      <c r="IJ29" s="162"/>
      <c r="IK29" s="162"/>
      <c r="IL29" s="162"/>
      <c r="IM29" s="162"/>
      <c r="IN29" s="162"/>
      <c r="IO29" s="162"/>
      <c r="IP29" s="162"/>
      <c r="IQ29" s="162"/>
      <c r="IR29" s="162"/>
      <c r="IS29" s="162"/>
      <c r="IT29" s="162"/>
      <c r="IU29" s="162"/>
      <c r="IV29" s="162"/>
      <c r="IW29" s="162"/>
      <c r="IX29" s="162"/>
      <c r="IY29" s="162"/>
      <c r="IZ29" s="162"/>
      <c r="JA29" s="162"/>
      <c r="JB29" s="162"/>
      <c r="JC29" s="162"/>
      <c r="JD29" s="162"/>
      <c r="JE29" s="162"/>
      <c r="JF29" s="162"/>
      <c r="JG29" s="162"/>
      <c r="JH29" s="162"/>
      <c r="JI29" s="162"/>
      <c r="JJ29" s="162"/>
      <c r="JK29" s="162"/>
      <c r="JL29" s="162"/>
      <c r="JM29" s="162"/>
      <c r="JN29" s="162"/>
      <c r="JO29" s="162"/>
      <c r="JP29" s="162"/>
      <c r="JQ29" s="162"/>
      <c r="JR29" s="162"/>
      <c r="JS29" s="162"/>
      <c r="JT29" s="162"/>
      <c r="JU29" s="162"/>
      <c r="JV29" s="162"/>
      <c r="JW29" s="162"/>
      <c r="JX29" s="162"/>
      <c r="JY29" s="162"/>
      <c r="JZ29" s="162"/>
      <c r="KA29" s="162"/>
      <c r="KB29" s="162"/>
      <c r="KC29" s="162"/>
      <c r="KD29" s="162"/>
      <c r="KE29" s="162"/>
      <c r="KF29" s="162"/>
      <c r="KG29" s="162"/>
      <c r="KH29" s="162"/>
      <c r="KI29" s="162"/>
      <c r="KJ29" s="162"/>
      <c r="KK29" s="162"/>
      <c r="KL29" s="162"/>
      <c r="KM29" s="162"/>
      <c r="KN29" s="162"/>
      <c r="KO29" s="162"/>
      <c r="KP29" s="162"/>
      <c r="KQ29" s="162"/>
      <c r="KR29" s="162"/>
      <c r="KS29" s="162"/>
      <c r="KT29" s="162"/>
      <c r="KU29" s="162"/>
      <c r="KV29" s="162"/>
      <c r="KW29" s="162"/>
      <c r="KX29" s="162"/>
      <c r="KY29" s="162"/>
      <c r="KZ29" s="162"/>
      <c r="LA29" s="162"/>
      <c r="LB29" s="162"/>
      <c r="LC29" s="162"/>
      <c r="LD29" s="162"/>
      <c r="LE29" s="162"/>
      <c r="LF29" s="162"/>
      <c r="LG29" s="162"/>
      <c r="LH29" s="162"/>
      <c r="LI29" s="162"/>
      <c r="LJ29" s="162"/>
      <c r="LK29" s="162"/>
      <c r="LL29" s="162"/>
      <c r="LM29" s="162"/>
      <c r="LN29" s="162"/>
      <c r="LO29" s="162"/>
      <c r="LP29" s="162"/>
      <c r="LQ29" s="162"/>
      <c r="LR29" s="162"/>
      <c r="LS29" s="162"/>
      <c r="LT29" s="162"/>
      <c r="LU29" s="162"/>
      <c r="LV29" s="162"/>
      <c r="LW29" s="162"/>
      <c r="LX29" s="162"/>
      <c r="LY29" s="162"/>
      <c r="LZ29" s="162"/>
      <c r="MA29" s="162"/>
      <c r="MB29" s="162"/>
      <c r="MC29" s="162"/>
      <c r="MD29" s="162"/>
      <c r="ME29" s="162"/>
      <c r="MF29" s="162"/>
      <c r="MG29" s="162"/>
      <c r="MH29" s="162"/>
      <c r="MI29" s="162"/>
      <c r="MJ29" s="162"/>
      <c r="MK29" s="162"/>
      <c r="ML29" s="162"/>
      <c r="MM29" s="162"/>
      <c r="MN29" s="162"/>
      <c r="MO29" s="162"/>
      <c r="MP29" s="162"/>
      <c r="MQ29" s="162"/>
      <c r="MR29" s="162"/>
      <c r="MS29" s="162"/>
      <c r="MT29" s="162"/>
      <c r="MU29" s="162"/>
      <c r="MV29" s="162"/>
      <c r="MW29" s="162"/>
      <c r="MX29" s="162"/>
      <c r="MY29" s="162"/>
      <c r="MZ29" s="162"/>
      <c r="NA29" s="162"/>
      <c r="NB29" s="162"/>
      <c r="NC29" s="162"/>
      <c r="ND29" s="162"/>
      <c r="NE29" s="162"/>
      <c r="NF29" s="162"/>
      <c r="NG29" s="162"/>
      <c r="NH29" s="162"/>
      <c r="NI29" s="162"/>
      <c r="NJ29" s="162"/>
      <c r="NK29" s="162"/>
      <c r="NL29" s="162"/>
      <c r="NM29" s="162"/>
      <c r="NN29" s="162"/>
      <c r="NO29" s="162"/>
      <c r="NP29" s="162"/>
      <c r="NQ29" s="162"/>
      <c r="NR29" s="162"/>
      <c r="NS29" s="162"/>
      <c r="NT29" s="162"/>
      <c r="NU29" s="162"/>
      <c r="NV29" s="162"/>
      <c r="NW29" s="162"/>
      <c r="NX29" s="162"/>
      <c r="NY29" s="162"/>
      <c r="NZ29" s="162"/>
      <c r="OA29" s="162"/>
      <c r="OB29" s="162"/>
      <c r="OC29" s="162"/>
      <c r="OD29" s="162"/>
      <c r="OE29" s="162"/>
      <c r="OF29" s="162"/>
      <c r="OG29" s="162"/>
      <c r="OH29" s="162"/>
      <c r="OI29" s="162"/>
      <c r="OJ29" s="162"/>
      <c r="OK29" s="162"/>
      <c r="OL29" s="162"/>
      <c r="OM29" s="162"/>
      <c r="ON29" s="162"/>
      <c r="OO29" s="162"/>
      <c r="OP29" s="162"/>
      <c r="OQ29" s="162"/>
      <c r="OR29" s="162"/>
      <c r="OS29" s="162"/>
      <c r="OT29" s="162"/>
      <c r="OU29" s="162"/>
      <c r="OV29" s="162"/>
      <c r="OW29" s="162"/>
      <c r="OX29" s="162"/>
      <c r="OY29" s="162"/>
      <c r="OZ29" s="162"/>
      <c r="PA29" s="162"/>
      <c r="PB29" s="162"/>
      <c r="PC29" s="162"/>
      <c r="PD29" s="162"/>
      <c r="PE29" s="162"/>
      <c r="PF29" s="162"/>
      <c r="PG29" s="162"/>
      <c r="PH29" s="162"/>
      <c r="PI29" s="162"/>
      <c r="PJ29" s="162"/>
      <c r="PK29" s="162"/>
      <c r="PL29" s="162"/>
      <c r="PM29" s="162"/>
      <c r="PN29" s="162"/>
      <c r="PO29" s="162"/>
      <c r="PP29" s="162"/>
      <c r="PQ29" s="162"/>
      <c r="PR29" s="162"/>
      <c r="PS29" s="162"/>
      <c r="PT29" s="162"/>
      <c r="PU29" s="162"/>
      <c r="PV29" s="162"/>
      <c r="PW29" s="162"/>
      <c r="PX29" s="162"/>
      <c r="PY29" s="162"/>
      <c r="PZ29" s="162"/>
      <c r="QA29" s="162"/>
      <c r="QB29" s="162"/>
      <c r="QC29" s="162"/>
      <c r="QD29" s="162"/>
      <c r="QE29" s="162"/>
      <c r="QF29" s="162"/>
      <c r="QG29" s="162"/>
      <c r="QH29" s="162"/>
      <c r="QI29" s="162"/>
      <c r="QJ29" s="162"/>
      <c r="QK29" s="162"/>
      <c r="QL29" s="162"/>
      <c r="QM29" s="162"/>
      <c r="QN29" s="162"/>
      <c r="QO29" s="162"/>
      <c r="QP29" s="162"/>
      <c r="QQ29" s="162"/>
      <c r="QR29" s="162"/>
      <c r="QS29" s="162"/>
      <c r="QT29" s="162"/>
      <c r="QU29" s="162"/>
      <c r="QV29" s="162"/>
      <c r="QW29" s="162"/>
      <c r="QX29" s="162"/>
      <c r="QY29" s="162"/>
      <c r="QZ29" s="162"/>
      <c r="RA29" s="162"/>
      <c r="RB29" s="162"/>
      <c r="RC29" s="162"/>
      <c r="RD29" s="162"/>
      <c r="RE29" s="162"/>
      <c r="RF29" s="162"/>
      <c r="RG29" s="162"/>
      <c r="RH29" s="162"/>
      <c r="RI29" s="162"/>
      <c r="RJ29" s="162"/>
      <c r="RK29" s="162"/>
      <c r="RL29" s="162"/>
      <c r="RM29" s="162"/>
      <c r="RN29" s="162"/>
      <c r="RO29" s="162"/>
      <c r="RP29" s="162"/>
      <c r="RQ29" s="162"/>
      <c r="RR29" s="162"/>
      <c r="RS29" s="162"/>
      <c r="RT29" s="162"/>
      <c r="RU29" s="162"/>
      <c r="RV29" s="162"/>
      <c r="RW29" s="162"/>
      <c r="RX29" s="162"/>
      <c r="RY29" s="162"/>
      <c r="RZ29" s="162"/>
      <c r="SA29" s="162"/>
      <c r="SB29" s="162"/>
      <c r="SC29" s="162"/>
      <c r="SD29" s="162"/>
      <c r="SE29" s="162"/>
      <c r="SF29" s="162"/>
      <c r="SG29" s="162"/>
      <c r="SH29" s="162"/>
      <c r="SI29" s="162"/>
      <c r="SJ29" s="162"/>
      <c r="SK29" s="162"/>
      <c r="SL29" s="162"/>
      <c r="SM29" s="162"/>
      <c r="SN29" s="162"/>
      <c r="SO29" s="162"/>
      <c r="SP29" s="162"/>
      <c r="SQ29" s="162"/>
      <c r="SR29" s="162"/>
      <c r="SS29" s="162"/>
      <c r="ST29" s="162"/>
      <c r="SU29" s="162"/>
      <c r="SV29" s="162"/>
      <c r="SW29" s="162"/>
      <c r="SX29" s="162"/>
      <c r="SY29" s="162"/>
      <c r="SZ29" s="162"/>
      <c r="TA29" s="162"/>
      <c r="TB29" s="162"/>
      <c r="TC29" s="162"/>
      <c r="TD29" s="162"/>
      <c r="TE29" s="162"/>
      <c r="TF29" s="162"/>
      <c r="TG29" s="162"/>
      <c r="TH29" s="162"/>
      <c r="TI29" s="162"/>
      <c r="TJ29" s="162"/>
      <c r="TK29" s="162"/>
      <c r="TL29" s="162"/>
      <c r="TM29" s="162"/>
      <c r="TN29" s="162"/>
      <c r="TO29" s="162"/>
      <c r="TP29" s="162"/>
      <c r="TQ29" s="162"/>
      <c r="TR29" s="162"/>
      <c r="TS29" s="162"/>
      <c r="TT29" s="162"/>
      <c r="TU29" s="162"/>
      <c r="TV29" s="162"/>
      <c r="TW29" s="162"/>
      <c r="TX29" s="162"/>
      <c r="TY29" s="162"/>
      <c r="TZ29" s="162"/>
      <c r="UA29" s="162"/>
      <c r="UB29" s="162"/>
      <c r="UC29" s="162"/>
      <c r="UD29" s="162"/>
      <c r="UE29" s="162"/>
      <c r="UF29" s="162"/>
      <c r="UG29" s="162"/>
      <c r="UH29" s="162"/>
      <c r="UI29" s="162"/>
      <c r="UJ29" s="162"/>
      <c r="UK29" s="162"/>
      <c r="UL29" s="162"/>
      <c r="UM29" s="162"/>
      <c r="UN29" s="162"/>
      <c r="UO29" s="162"/>
      <c r="UP29" s="162"/>
      <c r="UQ29" s="162"/>
      <c r="UR29" s="162"/>
      <c r="US29" s="162"/>
      <c r="UT29" s="162"/>
      <c r="UU29" s="162"/>
      <c r="UV29" s="162"/>
      <c r="UW29" s="162"/>
      <c r="UX29" s="162"/>
      <c r="UY29" s="162"/>
      <c r="UZ29" s="162"/>
      <c r="VA29" s="162"/>
      <c r="VB29" s="162"/>
      <c r="VC29" s="162"/>
      <c r="VD29" s="162"/>
      <c r="VE29" s="162"/>
      <c r="VF29" s="162"/>
      <c r="VG29" s="162"/>
      <c r="VH29" s="162"/>
      <c r="VI29" s="162"/>
      <c r="VJ29" s="162"/>
      <c r="VK29" s="162"/>
      <c r="VL29" s="162"/>
      <c r="VM29" s="162"/>
      <c r="VN29" s="162"/>
      <c r="VO29" s="162"/>
      <c r="VP29" s="162"/>
      <c r="VQ29" s="162"/>
      <c r="VR29" s="162"/>
      <c r="VS29" s="162"/>
      <c r="VT29" s="162"/>
      <c r="VU29" s="162"/>
      <c r="VV29" s="162"/>
      <c r="VW29" s="162"/>
      <c r="VX29" s="162"/>
      <c r="VY29" s="162"/>
      <c r="VZ29" s="162"/>
      <c r="WA29" s="162"/>
      <c r="WB29" s="162"/>
      <c r="WC29" s="162"/>
      <c r="WD29" s="162"/>
      <c r="WE29" s="162"/>
      <c r="WF29" s="162"/>
      <c r="WG29" s="162"/>
      <c r="WH29" s="162"/>
      <c r="WI29" s="162"/>
      <c r="WJ29" s="162"/>
      <c r="WK29" s="162"/>
      <c r="WL29" s="162"/>
      <c r="WM29" s="162"/>
      <c r="WN29" s="162"/>
      <c r="WO29" s="162"/>
      <c r="WP29" s="162"/>
      <c r="WQ29" s="162"/>
      <c r="WR29" s="162"/>
      <c r="WS29" s="162"/>
      <c r="WT29" s="162"/>
      <c r="WU29" s="162"/>
      <c r="WV29" s="162"/>
      <c r="WW29" s="162"/>
      <c r="WX29" s="162"/>
      <c r="WY29" s="162"/>
      <c r="WZ29" s="162"/>
      <c r="XA29" s="162"/>
      <c r="XB29" s="162"/>
      <c r="XC29" s="162"/>
      <c r="XD29" s="162"/>
      <c r="XE29" s="162"/>
      <c r="XF29" s="162"/>
      <c r="XG29" s="162"/>
      <c r="XH29" s="162"/>
      <c r="XI29" s="162"/>
      <c r="XJ29" s="162"/>
      <c r="XK29" s="162"/>
      <c r="XL29" s="162"/>
      <c r="XM29" s="162"/>
      <c r="XN29" s="162"/>
      <c r="XO29" s="162"/>
      <c r="XP29" s="162"/>
      <c r="XQ29" s="162"/>
      <c r="XR29" s="162"/>
      <c r="XS29" s="162"/>
      <c r="XT29" s="162"/>
      <c r="XU29" s="162"/>
      <c r="XV29" s="162"/>
      <c r="XW29" s="162"/>
      <c r="XX29" s="162"/>
      <c r="XY29" s="162"/>
      <c r="XZ29" s="162"/>
      <c r="YA29" s="162"/>
      <c r="YB29" s="162"/>
      <c r="YC29" s="162"/>
      <c r="YD29" s="162"/>
      <c r="YE29" s="162"/>
      <c r="YF29" s="162"/>
      <c r="YG29" s="162"/>
      <c r="YH29" s="162"/>
      <c r="YI29" s="162"/>
      <c r="YJ29" s="162"/>
      <c r="YK29" s="162"/>
      <c r="YL29" s="162"/>
      <c r="YM29" s="162"/>
      <c r="YN29" s="162"/>
      <c r="YO29" s="162"/>
      <c r="YP29" s="162"/>
      <c r="YQ29" s="162"/>
      <c r="YR29" s="162"/>
      <c r="YS29" s="162"/>
      <c r="YT29" s="162"/>
      <c r="YU29" s="162"/>
      <c r="YV29" s="162"/>
      <c r="YW29" s="162"/>
      <c r="YX29" s="162"/>
    </row>
    <row r="30" spans="1:674" s="162" customFormat="1" ht="19.5" customHeight="1">
      <c r="A30" s="150">
        <v>21</v>
      </c>
      <c r="B30" s="164" t="s">
        <v>512</v>
      </c>
      <c r="C30" s="156" t="s">
        <v>467</v>
      </c>
      <c r="D30" s="165"/>
      <c r="E30" s="165"/>
      <c r="F30" s="165"/>
      <c r="G30" s="152" t="s">
        <v>123</v>
      </c>
      <c r="H30" s="165"/>
      <c r="I30" s="166" t="s">
        <v>513</v>
      </c>
      <c r="J30" s="157" t="s">
        <v>442</v>
      </c>
      <c r="K30" s="166"/>
      <c r="L30" s="159" t="s">
        <v>514</v>
      </c>
      <c r="M30" s="167"/>
      <c r="N30" s="167"/>
      <c r="O30" s="168"/>
      <c r="P30" s="169"/>
    </row>
    <row r="31" spans="1:674" s="162" customFormat="1" ht="20.100000000000001" customHeight="1">
      <c r="A31" s="150">
        <v>22</v>
      </c>
      <c r="B31" s="164" t="s">
        <v>515</v>
      </c>
      <c r="C31" s="156" t="s">
        <v>467</v>
      </c>
      <c r="D31" s="165"/>
      <c r="E31" s="165"/>
      <c r="F31" s="165"/>
      <c r="G31" s="152" t="s">
        <v>123</v>
      </c>
      <c r="H31" s="165"/>
      <c r="I31" s="166" t="s">
        <v>516</v>
      </c>
      <c r="J31" s="157" t="s">
        <v>442</v>
      </c>
      <c r="K31" s="166"/>
      <c r="L31" s="159"/>
      <c r="M31" s="167"/>
      <c r="N31" s="167"/>
      <c r="O31" s="168"/>
      <c r="P31" s="169"/>
    </row>
    <row r="32" spans="1:674" s="162" customFormat="1" ht="20.100000000000001" customHeight="1">
      <c r="A32" s="150">
        <v>23</v>
      </c>
      <c r="B32" s="164" t="s">
        <v>517</v>
      </c>
      <c r="C32" s="156" t="s">
        <v>467</v>
      </c>
      <c r="D32" s="165"/>
      <c r="E32" s="165"/>
      <c r="F32" s="165"/>
      <c r="G32" s="152" t="s">
        <v>123</v>
      </c>
      <c r="H32" s="165"/>
      <c r="I32" s="166" t="s">
        <v>286</v>
      </c>
      <c r="J32" s="157" t="s">
        <v>442</v>
      </c>
      <c r="K32" s="166"/>
      <c r="L32" s="159"/>
      <c r="M32" s="167"/>
      <c r="N32" s="167"/>
      <c r="O32" s="168"/>
      <c r="P32" s="169"/>
    </row>
    <row r="33" spans="1:674" s="162" customFormat="1" ht="20.100000000000001" customHeight="1">
      <c r="A33" s="150">
        <v>24</v>
      </c>
      <c r="B33" s="164" t="s">
        <v>518</v>
      </c>
      <c r="C33" s="156" t="s">
        <v>467</v>
      </c>
      <c r="D33" s="165"/>
      <c r="E33" s="165"/>
      <c r="F33" s="165"/>
      <c r="G33" s="152" t="s">
        <v>123</v>
      </c>
      <c r="H33" s="165"/>
      <c r="I33" s="166" t="s">
        <v>519</v>
      </c>
      <c r="J33" s="157" t="s">
        <v>442</v>
      </c>
      <c r="K33" s="166"/>
      <c r="L33" s="159"/>
      <c r="M33" s="167"/>
      <c r="N33" s="167"/>
      <c r="O33" s="168"/>
      <c r="P33" s="169"/>
    </row>
    <row r="34" spans="1:674" s="170" customFormat="1" ht="26.45" customHeight="1">
      <c r="A34" s="147">
        <v>25</v>
      </c>
      <c r="B34" s="164" t="s">
        <v>520</v>
      </c>
      <c r="C34" s="156" t="s">
        <v>467</v>
      </c>
      <c r="D34" s="165"/>
      <c r="E34" s="165"/>
      <c r="F34" s="165"/>
      <c r="G34" s="152" t="s">
        <v>123</v>
      </c>
      <c r="H34" s="165"/>
      <c r="I34" s="166" t="s">
        <v>521</v>
      </c>
      <c r="J34" s="157" t="s">
        <v>442</v>
      </c>
      <c r="K34" s="166"/>
      <c r="L34" s="159"/>
      <c r="M34" s="167"/>
      <c r="N34" s="167"/>
      <c r="O34" s="168"/>
      <c r="P34" s="169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2"/>
      <c r="AX34" s="162"/>
      <c r="AY34" s="162"/>
      <c r="AZ34" s="162"/>
      <c r="BA34" s="162"/>
      <c r="BB34" s="162"/>
      <c r="BC34" s="162"/>
      <c r="BD34" s="162"/>
      <c r="BE34" s="162"/>
      <c r="BF34" s="162"/>
      <c r="BG34" s="162"/>
      <c r="BH34" s="162"/>
      <c r="BI34" s="162"/>
      <c r="BJ34" s="162"/>
      <c r="BK34" s="162"/>
      <c r="BL34" s="162"/>
      <c r="BM34" s="162"/>
      <c r="BN34" s="162"/>
      <c r="BO34" s="162"/>
      <c r="BP34" s="162"/>
      <c r="BQ34" s="162"/>
      <c r="BR34" s="162"/>
      <c r="BS34" s="162"/>
      <c r="BT34" s="162"/>
      <c r="BU34" s="162"/>
      <c r="BV34" s="162"/>
      <c r="BW34" s="162"/>
      <c r="BX34" s="162"/>
      <c r="BY34" s="162"/>
      <c r="BZ34" s="162"/>
      <c r="CA34" s="162"/>
      <c r="CB34" s="162"/>
      <c r="CC34" s="162"/>
      <c r="CD34" s="162"/>
      <c r="CE34" s="162"/>
      <c r="CF34" s="162"/>
      <c r="CG34" s="162"/>
      <c r="CH34" s="162"/>
      <c r="CI34" s="162"/>
      <c r="CJ34" s="162"/>
      <c r="CK34" s="162"/>
      <c r="CL34" s="162"/>
      <c r="CM34" s="162"/>
      <c r="CN34" s="162"/>
      <c r="CO34" s="162"/>
      <c r="CP34" s="162"/>
      <c r="CQ34" s="162"/>
      <c r="CR34" s="162"/>
      <c r="CS34" s="162"/>
      <c r="CT34" s="162"/>
      <c r="CU34" s="162"/>
      <c r="CV34" s="162"/>
      <c r="CW34" s="162"/>
      <c r="CX34" s="162"/>
      <c r="CY34" s="162"/>
      <c r="CZ34" s="162"/>
      <c r="DA34" s="162"/>
      <c r="DB34" s="162"/>
      <c r="DC34" s="162"/>
      <c r="DD34" s="162"/>
      <c r="DE34" s="162"/>
      <c r="DF34" s="162"/>
      <c r="DG34" s="162"/>
      <c r="DH34" s="162"/>
      <c r="DI34" s="162"/>
      <c r="DJ34" s="162"/>
      <c r="DK34" s="162"/>
      <c r="DL34" s="162"/>
      <c r="DM34" s="162"/>
      <c r="DN34" s="162"/>
      <c r="DO34" s="162"/>
      <c r="DP34" s="162"/>
      <c r="DQ34" s="162"/>
      <c r="DR34" s="162"/>
      <c r="DS34" s="162"/>
      <c r="DT34" s="162"/>
      <c r="DU34" s="162"/>
      <c r="DV34" s="162"/>
      <c r="DW34" s="162"/>
      <c r="DX34" s="162"/>
      <c r="DY34" s="162"/>
      <c r="DZ34" s="162"/>
      <c r="EA34" s="162"/>
      <c r="EB34" s="162"/>
      <c r="EC34" s="162"/>
      <c r="ED34" s="162"/>
      <c r="EE34" s="162"/>
      <c r="EF34" s="162"/>
      <c r="EG34" s="162"/>
      <c r="EH34" s="162"/>
      <c r="EI34" s="162"/>
      <c r="EJ34" s="162"/>
      <c r="EK34" s="162"/>
      <c r="EL34" s="162"/>
      <c r="EM34" s="162"/>
      <c r="EN34" s="162"/>
      <c r="EO34" s="162"/>
      <c r="EP34" s="162"/>
      <c r="EQ34" s="162"/>
      <c r="ER34" s="162"/>
      <c r="ES34" s="162"/>
      <c r="ET34" s="162"/>
      <c r="EU34" s="162"/>
      <c r="EV34" s="162"/>
      <c r="EW34" s="162"/>
      <c r="EX34" s="162"/>
      <c r="EY34" s="162"/>
      <c r="EZ34" s="162"/>
      <c r="FA34" s="162"/>
      <c r="FB34" s="162"/>
      <c r="FC34" s="162"/>
      <c r="FD34" s="162"/>
      <c r="FE34" s="162"/>
      <c r="FF34" s="162"/>
      <c r="FG34" s="162"/>
      <c r="FH34" s="162"/>
      <c r="FI34" s="162"/>
      <c r="FJ34" s="162"/>
      <c r="FK34" s="162"/>
      <c r="FL34" s="162"/>
      <c r="FM34" s="162"/>
      <c r="FN34" s="162"/>
      <c r="FO34" s="162"/>
      <c r="FP34" s="162"/>
      <c r="FQ34" s="162"/>
      <c r="FR34" s="162"/>
      <c r="FS34" s="162"/>
      <c r="FT34" s="162"/>
      <c r="FU34" s="162"/>
      <c r="FV34" s="162"/>
      <c r="FW34" s="162"/>
      <c r="FX34" s="162"/>
      <c r="FY34" s="162"/>
      <c r="FZ34" s="162"/>
      <c r="GA34" s="162"/>
      <c r="GB34" s="162"/>
      <c r="GC34" s="162"/>
      <c r="GD34" s="162"/>
      <c r="GE34" s="162"/>
      <c r="GF34" s="162"/>
      <c r="GG34" s="162"/>
      <c r="GH34" s="162"/>
      <c r="GI34" s="162"/>
      <c r="GJ34" s="162"/>
      <c r="GK34" s="162"/>
      <c r="GL34" s="162"/>
      <c r="GM34" s="162"/>
      <c r="GN34" s="162"/>
      <c r="GO34" s="162"/>
      <c r="GP34" s="162"/>
      <c r="GQ34" s="162"/>
      <c r="GR34" s="162"/>
      <c r="GS34" s="162"/>
      <c r="GT34" s="162"/>
      <c r="GU34" s="162"/>
      <c r="GV34" s="162"/>
      <c r="GW34" s="162"/>
      <c r="GX34" s="162"/>
      <c r="GY34" s="162"/>
      <c r="GZ34" s="162"/>
      <c r="HA34" s="162"/>
      <c r="HB34" s="162"/>
      <c r="HC34" s="162"/>
      <c r="HD34" s="162"/>
      <c r="HE34" s="162"/>
      <c r="HF34" s="162"/>
      <c r="HG34" s="162"/>
      <c r="HH34" s="162"/>
      <c r="HI34" s="162"/>
      <c r="HJ34" s="162"/>
      <c r="HK34" s="162"/>
      <c r="HL34" s="162"/>
      <c r="HM34" s="162"/>
      <c r="HN34" s="162"/>
      <c r="HO34" s="162"/>
      <c r="HP34" s="162"/>
      <c r="HQ34" s="162"/>
      <c r="HR34" s="162"/>
      <c r="HS34" s="162"/>
      <c r="HT34" s="162"/>
      <c r="HU34" s="162"/>
      <c r="HV34" s="162"/>
      <c r="HW34" s="162"/>
      <c r="HX34" s="162"/>
      <c r="HY34" s="162"/>
      <c r="HZ34" s="162"/>
      <c r="IA34" s="162"/>
      <c r="IB34" s="162"/>
      <c r="IC34" s="162"/>
      <c r="ID34" s="162"/>
      <c r="IE34" s="162"/>
      <c r="IF34" s="162"/>
      <c r="IG34" s="162"/>
      <c r="IH34" s="162"/>
      <c r="II34" s="162"/>
      <c r="IJ34" s="162"/>
      <c r="IK34" s="162"/>
      <c r="IL34" s="162"/>
      <c r="IM34" s="162"/>
      <c r="IN34" s="162"/>
      <c r="IO34" s="162"/>
      <c r="IP34" s="162"/>
      <c r="IQ34" s="162"/>
      <c r="IR34" s="162"/>
      <c r="IS34" s="162"/>
      <c r="IT34" s="162"/>
      <c r="IU34" s="162"/>
      <c r="IV34" s="162"/>
      <c r="IW34" s="162"/>
      <c r="IX34" s="162"/>
      <c r="IY34" s="162"/>
      <c r="IZ34" s="162"/>
      <c r="JA34" s="162"/>
      <c r="JB34" s="162"/>
      <c r="JC34" s="162"/>
      <c r="JD34" s="162"/>
      <c r="JE34" s="162"/>
      <c r="JF34" s="162"/>
      <c r="JG34" s="162"/>
      <c r="JH34" s="162"/>
      <c r="JI34" s="162"/>
      <c r="JJ34" s="162"/>
      <c r="JK34" s="162"/>
      <c r="JL34" s="162"/>
      <c r="JM34" s="162"/>
      <c r="JN34" s="162"/>
      <c r="JO34" s="162"/>
      <c r="JP34" s="162"/>
      <c r="JQ34" s="162"/>
      <c r="JR34" s="162"/>
      <c r="JS34" s="162"/>
      <c r="JT34" s="162"/>
      <c r="JU34" s="162"/>
      <c r="JV34" s="162"/>
      <c r="JW34" s="162"/>
      <c r="JX34" s="162"/>
      <c r="JY34" s="162"/>
      <c r="JZ34" s="162"/>
      <c r="KA34" s="162"/>
      <c r="KB34" s="162"/>
      <c r="KC34" s="162"/>
      <c r="KD34" s="162"/>
      <c r="KE34" s="162"/>
      <c r="KF34" s="162"/>
      <c r="KG34" s="162"/>
      <c r="KH34" s="162"/>
      <c r="KI34" s="162"/>
      <c r="KJ34" s="162"/>
      <c r="KK34" s="162"/>
      <c r="KL34" s="162"/>
      <c r="KM34" s="162"/>
      <c r="KN34" s="162"/>
      <c r="KO34" s="162"/>
      <c r="KP34" s="162"/>
      <c r="KQ34" s="162"/>
      <c r="KR34" s="162"/>
      <c r="KS34" s="162"/>
      <c r="KT34" s="162"/>
      <c r="KU34" s="162"/>
      <c r="KV34" s="162"/>
      <c r="KW34" s="162"/>
      <c r="KX34" s="162"/>
      <c r="KY34" s="162"/>
      <c r="KZ34" s="162"/>
      <c r="LA34" s="162"/>
      <c r="LB34" s="162"/>
      <c r="LC34" s="162"/>
      <c r="LD34" s="162"/>
      <c r="LE34" s="162"/>
      <c r="LF34" s="162"/>
      <c r="LG34" s="162"/>
      <c r="LH34" s="162"/>
      <c r="LI34" s="162"/>
      <c r="LJ34" s="162"/>
      <c r="LK34" s="162"/>
      <c r="LL34" s="162"/>
      <c r="LM34" s="162"/>
      <c r="LN34" s="162"/>
      <c r="LO34" s="162"/>
      <c r="LP34" s="162"/>
      <c r="LQ34" s="162"/>
      <c r="LR34" s="162"/>
      <c r="LS34" s="162"/>
      <c r="LT34" s="162"/>
      <c r="LU34" s="162"/>
      <c r="LV34" s="162"/>
      <c r="LW34" s="162"/>
      <c r="LX34" s="162"/>
      <c r="LY34" s="162"/>
      <c r="LZ34" s="162"/>
      <c r="MA34" s="162"/>
      <c r="MB34" s="162"/>
      <c r="MC34" s="162"/>
      <c r="MD34" s="162"/>
      <c r="ME34" s="162"/>
      <c r="MF34" s="162"/>
      <c r="MG34" s="162"/>
      <c r="MH34" s="162"/>
      <c r="MI34" s="162"/>
      <c r="MJ34" s="162"/>
      <c r="MK34" s="162"/>
      <c r="ML34" s="162"/>
      <c r="MM34" s="162"/>
      <c r="MN34" s="162"/>
      <c r="MO34" s="162"/>
      <c r="MP34" s="162"/>
      <c r="MQ34" s="162"/>
      <c r="MR34" s="162"/>
      <c r="MS34" s="162"/>
      <c r="MT34" s="162"/>
      <c r="MU34" s="162"/>
      <c r="MV34" s="162"/>
      <c r="MW34" s="162"/>
      <c r="MX34" s="162"/>
      <c r="MY34" s="162"/>
      <c r="MZ34" s="162"/>
      <c r="NA34" s="162"/>
      <c r="NB34" s="162"/>
      <c r="NC34" s="162"/>
      <c r="ND34" s="162"/>
      <c r="NE34" s="162"/>
      <c r="NF34" s="162"/>
      <c r="NG34" s="162"/>
      <c r="NH34" s="162"/>
      <c r="NI34" s="162"/>
      <c r="NJ34" s="162"/>
      <c r="NK34" s="162"/>
      <c r="NL34" s="162"/>
      <c r="NM34" s="162"/>
      <c r="NN34" s="162"/>
      <c r="NO34" s="162"/>
      <c r="NP34" s="162"/>
      <c r="NQ34" s="162"/>
      <c r="NR34" s="162"/>
      <c r="NS34" s="162"/>
      <c r="NT34" s="162"/>
      <c r="NU34" s="162"/>
      <c r="NV34" s="162"/>
      <c r="NW34" s="162"/>
      <c r="NX34" s="162"/>
      <c r="NY34" s="162"/>
      <c r="NZ34" s="162"/>
      <c r="OA34" s="162"/>
      <c r="OB34" s="162"/>
      <c r="OC34" s="162"/>
      <c r="OD34" s="162"/>
      <c r="OE34" s="162"/>
      <c r="OF34" s="162"/>
      <c r="OG34" s="162"/>
      <c r="OH34" s="162"/>
      <c r="OI34" s="162"/>
      <c r="OJ34" s="162"/>
      <c r="OK34" s="162"/>
      <c r="OL34" s="162"/>
      <c r="OM34" s="162"/>
      <c r="ON34" s="162"/>
      <c r="OO34" s="162"/>
      <c r="OP34" s="162"/>
      <c r="OQ34" s="162"/>
      <c r="OR34" s="162"/>
      <c r="OS34" s="162"/>
      <c r="OT34" s="162"/>
      <c r="OU34" s="162"/>
      <c r="OV34" s="162"/>
      <c r="OW34" s="162"/>
      <c r="OX34" s="162"/>
      <c r="OY34" s="162"/>
      <c r="OZ34" s="162"/>
      <c r="PA34" s="162"/>
      <c r="PB34" s="162"/>
      <c r="PC34" s="162"/>
      <c r="PD34" s="162"/>
      <c r="PE34" s="162"/>
      <c r="PF34" s="162"/>
      <c r="PG34" s="162"/>
      <c r="PH34" s="162"/>
      <c r="PI34" s="162"/>
      <c r="PJ34" s="162"/>
      <c r="PK34" s="162"/>
      <c r="PL34" s="162"/>
      <c r="PM34" s="162"/>
      <c r="PN34" s="162"/>
      <c r="PO34" s="162"/>
      <c r="PP34" s="162"/>
      <c r="PQ34" s="162"/>
      <c r="PR34" s="162"/>
      <c r="PS34" s="162"/>
      <c r="PT34" s="162"/>
      <c r="PU34" s="162"/>
      <c r="PV34" s="162"/>
      <c r="PW34" s="162"/>
      <c r="PX34" s="162"/>
      <c r="PY34" s="162"/>
      <c r="PZ34" s="162"/>
      <c r="QA34" s="162"/>
      <c r="QB34" s="162"/>
      <c r="QC34" s="162"/>
      <c r="QD34" s="162"/>
      <c r="QE34" s="162"/>
      <c r="QF34" s="162"/>
      <c r="QG34" s="162"/>
      <c r="QH34" s="162"/>
      <c r="QI34" s="162"/>
      <c r="QJ34" s="162"/>
      <c r="QK34" s="162"/>
      <c r="QL34" s="162"/>
      <c r="QM34" s="162"/>
      <c r="QN34" s="162"/>
      <c r="QO34" s="162"/>
      <c r="QP34" s="162"/>
      <c r="QQ34" s="162"/>
      <c r="QR34" s="162"/>
      <c r="QS34" s="162"/>
      <c r="QT34" s="162"/>
      <c r="QU34" s="162"/>
      <c r="QV34" s="162"/>
      <c r="QW34" s="162"/>
      <c r="QX34" s="162"/>
      <c r="QY34" s="162"/>
      <c r="QZ34" s="162"/>
      <c r="RA34" s="162"/>
      <c r="RB34" s="162"/>
      <c r="RC34" s="162"/>
      <c r="RD34" s="162"/>
      <c r="RE34" s="162"/>
      <c r="RF34" s="162"/>
      <c r="RG34" s="162"/>
      <c r="RH34" s="162"/>
      <c r="RI34" s="162"/>
      <c r="RJ34" s="162"/>
      <c r="RK34" s="162"/>
      <c r="RL34" s="162"/>
      <c r="RM34" s="162"/>
      <c r="RN34" s="162"/>
      <c r="RO34" s="162"/>
      <c r="RP34" s="162"/>
      <c r="RQ34" s="162"/>
      <c r="RR34" s="162"/>
      <c r="RS34" s="162"/>
      <c r="RT34" s="162"/>
      <c r="RU34" s="162"/>
      <c r="RV34" s="162"/>
      <c r="RW34" s="162"/>
      <c r="RX34" s="162"/>
      <c r="RY34" s="162"/>
      <c r="RZ34" s="162"/>
      <c r="SA34" s="162"/>
      <c r="SB34" s="162"/>
      <c r="SC34" s="162"/>
      <c r="SD34" s="162"/>
      <c r="SE34" s="162"/>
      <c r="SF34" s="162"/>
      <c r="SG34" s="162"/>
      <c r="SH34" s="162"/>
      <c r="SI34" s="162"/>
      <c r="SJ34" s="162"/>
      <c r="SK34" s="162"/>
      <c r="SL34" s="162"/>
      <c r="SM34" s="162"/>
      <c r="SN34" s="162"/>
      <c r="SO34" s="162"/>
      <c r="SP34" s="162"/>
      <c r="SQ34" s="162"/>
      <c r="SR34" s="162"/>
      <c r="SS34" s="162"/>
      <c r="ST34" s="162"/>
      <c r="SU34" s="162"/>
      <c r="SV34" s="162"/>
      <c r="SW34" s="162"/>
      <c r="SX34" s="162"/>
      <c r="SY34" s="162"/>
      <c r="SZ34" s="162"/>
      <c r="TA34" s="162"/>
      <c r="TB34" s="162"/>
      <c r="TC34" s="162"/>
      <c r="TD34" s="162"/>
      <c r="TE34" s="162"/>
      <c r="TF34" s="162"/>
      <c r="TG34" s="162"/>
      <c r="TH34" s="162"/>
      <c r="TI34" s="162"/>
      <c r="TJ34" s="162"/>
      <c r="TK34" s="162"/>
      <c r="TL34" s="162"/>
      <c r="TM34" s="162"/>
      <c r="TN34" s="162"/>
      <c r="TO34" s="162"/>
      <c r="TP34" s="162"/>
      <c r="TQ34" s="162"/>
      <c r="TR34" s="162"/>
      <c r="TS34" s="162"/>
      <c r="TT34" s="162"/>
      <c r="TU34" s="162"/>
      <c r="TV34" s="162"/>
      <c r="TW34" s="162"/>
      <c r="TX34" s="162"/>
      <c r="TY34" s="162"/>
      <c r="TZ34" s="162"/>
      <c r="UA34" s="162"/>
      <c r="UB34" s="162"/>
      <c r="UC34" s="162"/>
      <c r="UD34" s="162"/>
      <c r="UE34" s="162"/>
      <c r="UF34" s="162"/>
      <c r="UG34" s="162"/>
      <c r="UH34" s="162"/>
      <c r="UI34" s="162"/>
      <c r="UJ34" s="162"/>
      <c r="UK34" s="162"/>
      <c r="UL34" s="162"/>
      <c r="UM34" s="162"/>
      <c r="UN34" s="162"/>
      <c r="UO34" s="162"/>
      <c r="UP34" s="162"/>
      <c r="UQ34" s="162"/>
      <c r="UR34" s="162"/>
      <c r="US34" s="162"/>
      <c r="UT34" s="162"/>
      <c r="UU34" s="162"/>
      <c r="UV34" s="162"/>
      <c r="UW34" s="162"/>
      <c r="UX34" s="162"/>
      <c r="UY34" s="162"/>
      <c r="UZ34" s="162"/>
      <c r="VA34" s="162"/>
      <c r="VB34" s="162"/>
      <c r="VC34" s="162"/>
      <c r="VD34" s="162"/>
      <c r="VE34" s="162"/>
      <c r="VF34" s="162"/>
      <c r="VG34" s="162"/>
      <c r="VH34" s="162"/>
      <c r="VI34" s="162"/>
      <c r="VJ34" s="162"/>
      <c r="VK34" s="162"/>
      <c r="VL34" s="162"/>
      <c r="VM34" s="162"/>
      <c r="VN34" s="162"/>
      <c r="VO34" s="162"/>
      <c r="VP34" s="162"/>
      <c r="VQ34" s="162"/>
      <c r="VR34" s="162"/>
      <c r="VS34" s="162"/>
      <c r="VT34" s="162"/>
      <c r="VU34" s="162"/>
      <c r="VV34" s="162"/>
      <c r="VW34" s="162"/>
      <c r="VX34" s="162"/>
      <c r="VY34" s="162"/>
      <c r="VZ34" s="162"/>
      <c r="WA34" s="162"/>
      <c r="WB34" s="162"/>
      <c r="WC34" s="162"/>
      <c r="WD34" s="162"/>
      <c r="WE34" s="162"/>
      <c r="WF34" s="162"/>
      <c r="WG34" s="162"/>
      <c r="WH34" s="162"/>
      <c r="WI34" s="162"/>
      <c r="WJ34" s="162"/>
      <c r="WK34" s="162"/>
      <c r="WL34" s="162"/>
      <c r="WM34" s="162"/>
      <c r="WN34" s="162"/>
      <c r="WO34" s="162"/>
      <c r="WP34" s="162"/>
      <c r="WQ34" s="162"/>
      <c r="WR34" s="162"/>
      <c r="WS34" s="162"/>
      <c r="WT34" s="162"/>
      <c r="WU34" s="162"/>
      <c r="WV34" s="162"/>
      <c r="WW34" s="162"/>
      <c r="WX34" s="162"/>
      <c r="WY34" s="162"/>
      <c r="WZ34" s="162"/>
      <c r="XA34" s="162"/>
      <c r="XB34" s="162"/>
      <c r="XC34" s="162"/>
      <c r="XD34" s="162"/>
      <c r="XE34" s="162"/>
      <c r="XF34" s="162"/>
      <c r="XG34" s="162"/>
      <c r="XH34" s="162"/>
      <c r="XI34" s="162"/>
      <c r="XJ34" s="162"/>
      <c r="XK34" s="162"/>
      <c r="XL34" s="162"/>
      <c r="XM34" s="162"/>
      <c r="XN34" s="162"/>
      <c r="XO34" s="162"/>
      <c r="XP34" s="162"/>
      <c r="XQ34" s="162"/>
      <c r="XR34" s="162"/>
      <c r="XS34" s="162"/>
      <c r="XT34" s="162"/>
      <c r="XU34" s="162"/>
      <c r="XV34" s="162"/>
      <c r="XW34" s="162"/>
      <c r="XX34" s="162"/>
      <c r="XY34" s="162"/>
      <c r="XZ34" s="162"/>
      <c r="YA34" s="162"/>
      <c r="YB34" s="162"/>
      <c r="YC34" s="162"/>
      <c r="YD34" s="162"/>
      <c r="YE34" s="162"/>
      <c r="YF34" s="162"/>
      <c r="YG34" s="162"/>
      <c r="YH34" s="162"/>
      <c r="YI34" s="162"/>
      <c r="YJ34" s="162"/>
      <c r="YK34" s="162"/>
      <c r="YL34" s="162"/>
      <c r="YM34" s="162"/>
      <c r="YN34" s="162"/>
      <c r="YO34" s="162"/>
      <c r="YP34" s="162"/>
      <c r="YQ34" s="162"/>
      <c r="YR34" s="162"/>
      <c r="YS34" s="162"/>
      <c r="YT34" s="162"/>
      <c r="YU34" s="162"/>
      <c r="YV34" s="162"/>
      <c r="YW34" s="162"/>
      <c r="YX34" s="162"/>
    </row>
    <row r="35" spans="1:674" s="162" customFormat="1" ht="39" customHeight="1">
      <c r="A35" s="156">
        <v>26</v>
      </c>
      <c r="B35" s="164" t="s">
        <v>522</v>
      </c>
      <c r="C35" s="156" t="s">
        <v>467</v>
      </c>
      <c r="D35" s="165"/>
      <c r="E35" s="165"/>
      <c r="F35" s="165"/>
      <c r="G35" s="152" t="s">
        <v>123</v>
      </c>
      <c r="H35" s="165"/>
      <c r="I35" s="166" t="s">
        <v>523</v>
      </c>
      <c r="J35" s="157"/>
      <c r="K35" s="166"/>
      <c r="L35" s="159"/>
      <c r="M35" s="167"/>
      <c r="N35" s="167"/>
      <c r="O35" s="168"/>
      <c r="P35" s="169"/>
    </row>
    <row r="36" spans="1:674" s="162" customFormat="1" ht="39" customHeight="1">
      <c r="A36" s="156">
        <v>27</v>
      </c>
      <c r="B36" s="164" t="s">
        <v>524</v>
      </c>
      <c r="C36" s="156" t="s">
        <v>467</v>
      </c>
      <c r="D36" s="165"/>
      <c r="E36" s="165"/>
      <c r="F36" s="165"/>
      <c r="G36" s="152" t="s">
        <v>123</v>
      </c>
      <c r="H36" s="165"/>
      <c r="I36" s="166" t="s">
        <v>525</v>
      </c>
      <c r="J36" s="157" t="s">
        <v>526</v>
      </c>
      <c r="K36" s="166"/>
      <c r="L36" s="159" t="s">
        <v>527</v>
      </c>
      <c r="M36" s="167"/>
      <c r="N36" s="167"/>
      <c r="O36" s="168"/>
      <c r="P36" s="169"/>
    </row>
    <row r="37" spans="1:674" s="162" customFormat="1" ht="36">
      <c r="A37" s="156">
        <v>28</v>
      </c>
      <c r="B37" s="164" t="s">
        <v>528</v>
      </c>
      <c r="C37" s="156" t="s">
        <v>467</v>
      </c>
      <c r="D37" s="165"/>
      <c r="E37" s="165"/>
      <c r="F37" s="165"/>
      <c r="G37" s="152" t="s">
        <v>123</v>
      </c>
      <c r="H37" s="165"/>
      <c r="I37" s="166" t="s">
        <v>529</v>
      </c>
      <c r="J37" s="157"/>
      <c r="K37" s="166"/>
      <c r="L37" s="159" t="s">
        <v>530</v>
      </c>
      <c r="M37" s="167"/>
      <c r="N37" s="167"/>
      <c r="O37" s="168"/>
      <c r="P37" s="169"/>
    </row>
    <row r="38" spans="1:674" s="147" customFormat="1" ht="25.5" customHeight="1">
      <c r="A38" s="147">
        <v>29</v>
      </c>
      <c r="B38" s="164" t="s">
        <v>531</v>
      </c>
      <c r="C38" s="156" t="s">
        <v>467</v>
      </c>
      <c r="D38" s="165"/>
      <c r="E38" s="165"/>
      <c r="F38" s="165"/>
      <c r="G38" s="152" t="s">
        <v>123</v>
      </c>
      <c r="H38" s="165"/>
      <c r="I38" s="166" t="s">
        <v>532</v>
      </c>
      <c r="J38" s="157"/>
      <c r="K38" s="166"/>
      <c r="L38" s="159" t="s">
        <v>533</v>
      </c>
      <c r="M38" s="167"/>
      <c r="N38" s="167"/>
      <c r="O38" s="168"/>
      <c r="P38" s="169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162"/>
      <c r="AX38" s="162"/>
      <c r="AY38" s="162"/>
      <c r="AZ38" s="162"/>
      <c r="BA38" s="162"/>
      <c r="BB38" s="162"/>
      <c r="BC38" s="162"/>
      <c r="BD38" s="162"/>
      <c r="BE38" s="162"/>
      <c r="BF38" s="162"/>
      <c r="BG38" s="162"/>
      <c r="BH38" s="162"/>
      <c r="BI38" s="162"/>
      <c r="BJ38" s="162"/>
      <c r="BK38" s="162"/>
      <c r="BL38" s="162"/>
      <c r="BM38" s="162"/>
      <c r="BN38" s="162"/>
      <c r="BO38" s="162"/>
      <c r="BP38" s="162"/>
      <c r="BQ38" s="162"/>
      <c r="BR38" s="162"/>
      <c r="BS38" s="162"/>
      <c r="BT38" s="162"/>
      <c r="BU38" s="162"/>
      <c r="BV38" s="162"/>
      <c r="BW38" s="162"/>
      <c r="BX38" s="162"/>
      <c r="BY38" s="162"/>
      <c r="BZ38" s="162"/>
      <c r="CA38" s="162"/>
      <c r="CB38" s="162"/>
      <c r="CC38" s="162"/>
      <c r="CD38" s="162"/>
      <c r="CE38" s="162"/>
      <c r="CF38" s="162"/>
      <c r="CG38" s="162"/>
      <c r="CH38" s="162"/>
      <c r="CI38" s="162"/>
      <c r="CJ38" s="162"/>
      <c r="CK38" s="162"/>
      <c r="CL38" s="162"/>
      <c r="CM38" s="162"/>
      <c r="CN38" s="162"/>
      <c r="CO38" s="162"/>
      <c r="CP38" s="162"/>
      <c r="CQ38" s="162"/>
      <c r="CR38" s="162"/>
      <c r="CS38" s="162"/>
      <c r="CT38" s="162"/>
      <c r="CU38" s="162"/>
      <c r="CV38" s="162"/>
      <c r="CW38" s="162"/>
      <c r="CX38" s="162"/>
      <c r="CY38" s="162"/>
      <c r="CZ38" s="162"/>
      <c r="DA38" s="162"/>
      <c r="DB38" s="162"/>
      <c r="DC38" s="162"/>
      <c r="DD38" s="162"/>
      <c r="DE38" s="162"/>
      <c r="DF38" s="162"/>
      <c r="DG38" s="162"/>
      <c r="DH38" s="162"/>
      <c r="DI38" s="162"/>
      <c r="DJ38" s="162"/>
      <c r="DK38" s="162"/>
      <c r="DL38" s="162"/>
      <c r="DM38" s="162"/>
      <c r="DN38" s="162"/>
      <c r="DO38" s="162"/>
      <c r="DP38" s="162"/>
      <c r="DQ38" s="162"/>
      <c r="DR38" s="162"/>
      <c r="DS38" s="162"/>
      <c r="DT38" s="162"/>
      <c r="DU38" s="162"/>
      <c r="DV38" s="162"/>
      <c r="DW38" s="162"/>
      <c r="DX38" s="162"/>
      <c r="DY38" s="162"/>
      <c r="DZ38" s="162"/>
      <c r="EA38" s="162"/>
      <c r="EB38" s="162"/>
      <c r="EC38" s="162"/>
      <c r="ED38" s="162"/>
      <c r="EE38" s="162"/>
      <c r="EF38" s="162"/>
      <c r="EG38" s="162"/>
      <c r="EH38" s="162"/>
      <c r="EI38" s="162"/>
      <c r="EJ38" s="162"/>
      <c r="EK38" s="162"/>
      <c r="EL38" s="162"/>
      <c r="EM38" s="162"/>
      <c r="EN38" s="162"/>
      <c r="EO38" s="162"/>
      <c r="EP38" s="162"/>
      <c r="EQ38" s="162"/>
      <c r="ER38" s="162"/>
      <c r="ES38" s="162"/>
      <c r="ET38" s="162"/>
      <c r="EU38" s="162"/>
      <c r="EV38" s="162"/>
      <c r="EW38" s="162"/>
      <c r="EX38" s="162"/>
      <c r="EY38" s="162"/>
      <c r="EZ38" s="162"/>
      <c r="FA38" s="162"/>
      <c r="FB38" s="162"/>
      <c r="FC38" s="162"/>
      <c r="FD38" s="162"/>
      <c r="FE38" s="162"/>
      <c r="FF38" s="162"/>
      <c r="FG38" s="162"/>
      <c r="FH38" s="162"/>
      <c r="FI38" s="162"/>
      <c r="FJ38" s="162"/>
      <c r="FK38" s="162"/>
      <c r="FL38" s="162"/>
      <c r="FM38" s="162"/>
      <c r="FN38" s="162"/>
      <c r="FO38" s="162"/>
      <c r="FP38" s="162"/>
      <c r="FQ38" s="162"/>
      <c r="FR38" s="162"/>
      <c r="FS38" s="162"/>
      <c r="FT38" s="162"/>
      <c r="FU38" s="162"/>
      <c r="FV38" s="162"/>
      <c r="FW38" s="162"/>
      <c r="FX38" s="162"/>
      <c r="FY38" s="162"/>
      <c r="FZ38" s="162"/>
      <c r="GA38" s="162"/>
      <c r="GB38" s="162"/>
      <c r="GC38" s="162"/>
      <c r="GD38" s="162"/>
      <c r="GE38" s="162"/>
      <c r="GF38" s="162"/>
      <c r="GG38" s="162"/>
      <c r="GH38" s="162"/>
      <c r="GI38" s="162"/>
      <c r="GJ38" s="162"/>
      <c r="GK38" s="162"/>
      <c r="GL38" s="162"/>
      <c r="GM38" s="162"/>
      <c r="GN38" s="162"/>
      <c r="GO38" s="162"/>
      <c r="GP38" s="162"/>
      <c r="GQ38" s="162"/>
      <c r="GR38" s="162"/>
      <c r="GS38" s="162"/>
      <c r="GT38" s="162"/>
      <c r="GU38" s="162"/>
      <c r="GV38" s="162"/>
      <c r="GW38" s="162"/>
      <c r="GX38" s="162"/>
      <c r="GY38" s="162"/>
      <c r="GZ38" s="162"/>
      <c r="HA38" s="162"/>
      <c r="HB38" s="162"/>
      <c r="HC38" s="162"/>
      <c r="HD38" s="162"/>
      <c r="HE38" s="162"/>
      <c r="HF38" s="162"/>
      <c r="HG38" s="162"/>
      <c r="HH38" s="162"/>
      <c r="HI38" s="162"/>
      <c r="HJ38" s="162"/>
      <c r="HK38" s="162"/>
      <c r="HL38" s="162"/>
      <c r="HM38" s="162"/>
      <c r="HN38" s="162"/>
      <c r="HO38" s="162"/>
      <c r="HP38" s="162"/>
      <c r="HQ38" s="162"/>
      <c r="HR38" s="162"/>
      <c r="HS38" s="162"/>
      <c r="HT38" s="162"/>
      <c r="HU38" s="162"/>
      <c r="HV38" s="162"/>
      <c r="HW38" s="162"/>
      <c r="HX38" s="162"/>
      <c r="HY38" s="162"/>
      <c r="HZ38" s="162"/>
      <c r="IA38" s="162"/>
      <c r="IB38" s="162"/>
      <c r="IC38" s="162"/>
      <c r="ID38" s="162"/>
      <c r="IE38" s="162"/>
      <c r="IF38" s="162"/>
      <c r="IG38" s="162"/>
      <c r="IH38" s="162"/>
      <c r="II38" s="162"/>
      <c r="IJ38" s="162"/>
      <c r="IK38" s="162"/>
      <c r="IL38" s="162"/>
      <c r="IM38" s="162"/>
      <c r="IN38" s="162"/>
      <c r="IO38" s="162"/>
      <c r="IP38" s="162"/>
      <c r="IQ38" s="162"/>
      <c r="IR38" s="162"/>
      <c r="IS38" s="162"/>
      <c r="IT38" s="162"/>
      <c r="IU38" s="162"/>
      <c r="IV38" s="162"/>
      <c r="IW38" s="162"/>
      <c r="IX38" s="162"/>
      <c r="IY38" s="162"/>
      <c r="IZ38" s="162"/>
      <c r="JA38" s="162"/>
      <c r="JB38" s="162"/>
      <c r="JC38" s="162"/>
      <c r="JD38" s="162"/>
      <c r="JE38" s="162"/>
      <c r="JF38" s="162"/>
      <c r="JG38" s="162"/>
      <c r="JH38" s="162"/>
      <c r="JI38" s="162"/>
      <c r="JJ38" s="162"/>
      <c r="JK38" s="162"/>
      <c r="JL38" s="162"/>
      <c r="JM38" s="162"/>
      <c r="JN38" s="162"/>
      <c r="JO38" s="162"/>
      <c r="JP38" s="162"/>
      <c r="JQ38" s="162"/>
      <c r="JR38" s="162"/>
      <c r="JS38" s="162"/>
      <c r="JT38" s="162"/>
      <c r="JU38" s="162"/>
      <c r="JV38" s="162"/>
      <c r="JW38" s="162"/>
      <c r="JX38" s="162"/>
      <c r="JY38" s="162"/>
      <c r="JZ38" s="162"/>
      <c r="KA38" s="162"/>
      <c r="KB38" s="162"/>
      <c r="KC38" s="162"/>
      <c r="KD38" s="162"/>
      <c r="KE38" s="162"/>
      <c r="KF38" s="162"/>
      <c r="KG38" s="162"/>
      <c r="KH38" s="162"/>
      <c r="KI38" s="162"/>
      <c r="KJ38" s="162"/>
      <c r="KK38" s="162"/>
      <c r="KL38" s="162"/>
      <c r="KM38" s="162"/>
      <c r="KN38" s="162"/>
      <c r="KO38" s="162"/>
      <c r="KP38" s="162"/>
      <c r="KQ38" s="162"/>
      <c r="KR38" s="162"/>
      <c r="KS38" s="162"/>
      <c r="KT38" s="162"/>
      <c r="KU38" s="162"/>
      <c r="KV38" s="162"/>
      <c r="KW38" s="162"/>
      <c r="KX38" s="162"/>
      <c r="KY38" s="162"/>
      <c r="KZ38" s="162"/>
      <c r="LA38" s="162"/>
      <c r="LB38" s="162"/>
      <c r="LC38" s="162"/>
      <c r="LD38" s="162"/>
      <c r="LE38" s="162"/>
      <c r="LF38" s="162"/>
      <c r="LG38" s="162"/>
      <c r="LH38" s="162"/>
      <c r="LI38" s="162"/>
      <c r="LJ38" s="162"/>
      <c r="LK38" s="162"/>
      <c r="LL38" s="162"/>
      <c r="LM38" s="162"/>
      <c r="LN38" s="162"/>
      <c r="LO38" s="162"/>
      <c r="LP38" s="162"/>
      <c r="LQ38" s="162"/>
      <c r="LR38" s="162"/>
      <c r="LS38" s="162"/>
      <c r="LT38" s="162"/>
      <c r="LU38" s="162"/>
      <c r="LV38" s="162"/>
      <c r="LW38" s="162"/>
      <c r="LX38" s="162"/>
      <c r="LY38" s="162"/>
      <c r="LZ38" s="162"/>
      <c r="MA38" s="162"/>
      <c r="MB38" s="162"/>
      <c r="MC38" s="162"/>
      <c r="MD38" s="162"/>
      <c r="ME38" s="162"/>
      <c r="MF38" s="162"/>
      <c r="MG38" s="162"/>
      <c r="MH38" s="162"/>
      <c r="MI38" s="162"/>
      <c r="MJ38" s="162"/>
      <c r="MK38" s="162"/>
      <c r="ML38" s="162"/>
      <c r="MM38" s="162"/>
      <c r="MN38" s="162"/>
      <c r="MO38" s="162"/>
      <c r="MP38" s="162"/>
      <c r="MQ38" s="162"/>
      <c r="MR38" s="162"/>
      <c r="MS38" s="162"/>
      <c r="MT38" s="162"/>
      <c r="MU38" s="162"/>
      <c r="MV38" s="162"/>
      <c r="MW38" s="162"/>
      <c r="MX38" s="162"/>
      <c r="MY38" s="162"/>
      <c r="MZ38" s="162"/>
      <c r="NA38" s="162"/>
      <c r="NB38" s="162"/>
      <c r="NC38" s="162"/>
      <c r="ND38" s="162"/>
      <c r="NE38" s="162"/>
      <c r="NF38" s="162"/>
      <c r="NG38" s="162"/>
      <c r="NH38" s="162"/>
      <c r="NI38" s="162"/>
      <c r="NJ38" s="162"/>
      <c r="NK38" s="162"/>
      <c r="NL38" s="162"/>
      <c r="NM38" s="162"/>
      <c r="NN38" s="162"/>
      <c r="NO38" s="162"/>
      <c r="NP38" s="162"/>
      <c r="NQ38" s="162"/>
      <c r="NR38" s="162"/>
      <c r="NS38" s="162"/>
      <c r="NT38" s="162"/>
      <c r="NU38" s="162"/>
      <c r="NV38" s="162"/>
      <c r="NW38" s="162"/>
      <c r="NX38" s="162"/>
      <c r="NY38" s="162"/>
      <c r="NZ38" s="162"/>
      <c r="OA38" s="162"/>
      <c r="OB38" s="162"/>
      <c r="OC38" s="162"/>
      <c r="OD38" s="162"/>
      <c r="OE38" s="162"/>
      <c r="OF38" s="162"/>
      <c r="OG38" s="162"/>
      <c r="OH38" s="162"/>
      <c r="OI38" s="162"/>
      <c r="OJ38" s="162"/>
      <c r="OK38" s="162"/>
      <c r="OL38" s="162"/>
      <c r="OM38" s="162"/>
      <c r="ON38" s="162"/>
      <c r="OO38" s="162"/>
      <c r="OP38" s="162"/>
      <c r="OQ38" s="162"/>
      <c r="OR38" s="162"/>
      <c r="OS38" s="162"/>
      <c r="OT38" s="162"/>
      <c r="OU38" s="162"/>
      <c r="OV38" s="162"/>
      <c r="OW38" s="162"/>
      <c r="OX38" s="162"/>
      <c r="OY38" s="162"/>
      <c r="OZ38" s="162"/>
      <c r="PA38" s="162"/>
      <c r="PB38" s="162"/>
      <c r="PC38" s="162"/>
      <c r="PD38" s="162"/>
      <c r="PE38" s="162"/>
      <c r="PF38" s="162"/>
      <c r="PG38" s="162"/>
      <c r="PH38" s="162"/>
      <c r="PI38" s="162"/>
      <c r="PJ38" s="162"/>
      <c r="PK38" s="162"/>
      <c r="PL38" s="162"/>
      <c r="PM38" s="162"/>
      <c r="PN38" s="162"/>
      <c r="PO38" s="162"/>
      <c r="PP38" s="162"/>
      <c r="PQ38" s="162"/>
      <c r="PR38" s="162"/>
      <c r="PS38" s="162"/>
      <c r="PT38" s="162"/>
      <c r="PU38" s="162"/>
      <c r="PV38" s="162"/>
      <c r="PW38" s="162"/>
      <c r="PX38" s="162"/>
      <c r="PY38" s="162"/>
      <c r="PZ38" s="162"/>
      <c r="QA38" s="162"/>
      <c r="QB38" s="162"/>
      <c r="QC38" s="162"/>
      <c r="QD38" s="162"/>
      <c r="QE38" s="162"/>
      <c r="QF38" s="162"/>
      <c r="QG38" s="162"/>
      <c r="QH38" s="162"/>
      <c r="QI38" s="162"/>
      <c r="QJ38" s="162"/>
      <c r="QK38" s="162"/>
      <c r="QL38" s="162"/>
      <c r="QM38" s="162"/>
      <c r="QN38" s="162"/>
      <c r="QO38" s="162"/>
      <c r="QP38" s="162"/>
      <c r="QQ38" s="162"/>
      <c r="QR38" s="162"/>
      <c r="QS38" s="162"/>
      <c r="QT38" s="162"/>
      <c r="QU38" s="162"/>
      <c r="QV38" s="162"/>
      <c r="QW38" s="162"/>
      <c r="QX38" s="162"/>
      <c r="QY38" s="162"/>
      <c r="QZ38" s="162"/>
      <c r="RA38" s="162"/>
      <c r="RB38" s="162"/>
      <c r="RC38" s="162"/>
      <c r="RD38" s="162"/>
      <c r="RE38" s="162"/>
      <c r="RF38" s="162"/>
      <c r="RG38" s="162"/>
      <c r="RH38" s="162"/>
      <c r="RI38" s="162"/>
      <c r="RJ38" s="162"/>
      <c r="RK38" s="162"/>
      <c r="RL38" s="162"/>
      <c r="RM38" s="162"/>
      <c r="RN38" s="162"/>
      <c r="RO38" s="162"/>
      <c r="RP38" s="162"/>
      <c r="RQ38" s="162"/>
      <c r="RR38" s="162"/>
      <c r="RS38" s="162"/>
      <c r="RT38" s="162"/>
      <c r="RU38" s="162"/>
      <c r="RV38" s="162"/>
      <c r="RW38" s="162"/>
      <c r="RX38" s="162"/>
      <c r="RY38" s="162"/>
      <c r="RZ38" s="162"/>
      <c r="SA38" s="162"/>
      <c r="SB38" s="162"/>
      <c r="SC38" s="162"/>
      <c r="SD38" s="162"/>
      <c r="SE38" s="162"/>
      <c r="SF38" s="162"/>
      <c r="SG38" s="162"/>
      <c r="SH38" s="162"/>
      <c r="SI38" s="162"/>
      <c r="SJ38" s="162"/>
      <c r="SK38" s="162"/>
      <c r="SL38" s="162"/>
      <c r="SM38" s="162"/>
      <c r="SN38" s="162"/>
      <c r="SO38" s="162"/>
      <c r="SP38" s="162"/>
      <c r="SQ38" s="162"/>
      <c r="SR38" s="162"/>
      <c r="SS38" s="162"/>
      <c r="ST38" s="162"/>
      <c r="SU38" s="162"/>
      <c r="SV38" s="162"/>
      <c r="SW38" s="162"/>
      <c r="SX38" s="162"/>
      <c r="SY38" s="162"/>
      <c r="SZ38" s="162"/>
      <c r="TA38" s="162"/>
      <c r="TB38" s="162"/>
      <c r="TC38" s="162"/>
      <c r="TD38" s="162"/>
      <c r="TE38" s="162"/>
      <c r="TF38" s="162"/>
      <c r="TG38" s="162"/>
      <c r="TH38" s="162"/>
      <c r="TI38" s="162"/>
      <c r="TJ38" s="162"/>
      <c r="TK38" s="162"/>
      <c r="TL38" s="162"/>
      <c r="TM38" s="162"/>
      <c r="TN38" s="162"/>
      <c r="TO38" s="162"/>
      <c r="TP38" s="162"/>
      <c r="TQ38" s="162"/>
      <c r="TR38" s="162"/>
      <c r="TS38" s="162"/>
      <c r="TT38" s="162"/>
      <c r="TU38" s="162"/>
      <c r="TV38" s="162"/>
      <c r="TW38" s="162"/>
      <c r="TX38" s="162"/>
      <c r="TY38" s="162"/>
      <c r="TZ38" s="162"/>
      <c r="UA38" s="162"/>
      <c r="UB38" s="162"/>
      <c r="UC38" s="162"/>
      <c r="UD38" s="162"/>
      <c r="UE38" s="162"/>
      <c r="UF38" s="162"/>
      <c r="UG38" s="162"/>
      <c r="UH38" s="162"/>
      <c r="UI38" s="162"/>
      <c r="UJ38" s="162"/>
      <c r="UK38" s="162"/>
      <c r="UL38" s="162"/>
      <c r="UM38" s="162"/>
      <c r="UN38" s="162"/>
      <c r="UO38" s="162"/>
      <c r="UP38" s="162"/>
      <c r="UQ38" s="162"/>
      <c r="UR38" s="162"/>
      <c r="US38" s="162"/>
      <c r="UT38" s="162"/>
      <c r="UU38" s="162"/>
      <c r="UV38" s="162"/>
      <c r="UW38" s="162"/>
      <c r="UX38" s="162"/>
      <c r="UY38" s="162"/>
      <c r="UZ38" s="162"/>
      <c r="VA38" s="162"/>
      <c r="VB38" s="162"/>
      <c r="VC38" s="162"/>
      <c r="VD38" s="162"/>
      <c r="VE38" s="162"/>
      <c r="VF38" s="162"/>
      <c r="VG38" s="162"/>
      <c r="VH38" s="162"/>
      <c r="VI38" s="162"/>
      <c r="VJ38" s="162"/>
      <c r="VK38" s="162"/>
      <c r="VL38" s="162"/>
      <c r="VM38" s="162"/>
      <c r="VN38" s="162"/>
      <c r="VO38" s="162"/>
      <c r="VP38" s="162"/>
      <c r="VQ38" s="162"/>
      <c r="VR38" s="162"/>
      <c r="VS38" s="162"/>
      <c r="VT38" s="162"/>
      <c r="VU38" s="162"/>
      <c r="VV38" s="162"/>
      <c r="VW38" s="162"/>
      <c r="VX38" s="162"/>
      <c r="VY38" s="162"/>
      <c r="VZ38" s="162"/>
      <c r="WA38" s="162"/>
      <c r="WB38" s="162"/>
      <c r="WC38" s="162"/>
      <c r="WD38" s="162"/>
      <c r="WE38" s="162"/>
      <c r="WF38" s="162"/>
      <c r="WG38" s="162"/>
      <c r="WH38" s="162"/>
      <c r="WI38" s="162"/>
      <c r="WJ38" s="162"/>
      <c r="WK38" s="162"/>
      <c r="WL38" s="162"/>
      <c r="WM38" s="162"/>
      <c r="WN38" s="162"/>
      <c r="WO38" s="162"/>
      <c r="WP38" s="162"/>
      <c r="WQ38" s="162"/>
      <c r="WR38" s="162"/>
      <c r="WS38" s="162"/>
      <c r="WT38" s="162"/>
      <c r="WU38" s="162"/>
      <c r="WV38" s="162"/>
      <c r="WW38" s="162"/>
      <c r="WX38" s="162"/>
      <c r="WY38" s="162"/>
      <c r="WZ38" s="162"/>
      <c r="XA38" s="162"/>
      <c r="XB38" s="162"/>
      <c r="XC38" s="162"/>
      <c r="XD38" s="162"/>
      <c r="XE38" s="162"/>
      <c r="XF38" s="162"/>
      <c r="XG38" s="162"/>
      <c r="XH38" s="162"/>
      <c r="XI38" s="162"/>
      <c r="XJ38" s="162"/>
      <c r="XK38" s="162"/>
      <c r="XL38" s="162"/>
      <c r="XM38" s="162"/>
      <c r="XN38" s="162"/>
      <c r="XO38" s="162"/>
      <c r="XP38" s="162"/>
      <c r="XQ38" s="162"/>
      <c r="XR38" s="162"/>
      <c r="XS38" s="162"/>
      <c r="XT38" s="162"/>
      <c r="XU38" s="162"/>
      <c r="XV38" s="162"/>
      <c r="XW38" s="162"/>
      <c r="XX38" s="162"/>
      <c r="XY38" s="162"/>
      <c r="XZ38" s="162"/>
      <c r="YA38" s="162"/>
      <c r="YB38" s="162"/>
      <c r="YC38" s="162"/>
      <c r="YD38" s="162"/>
      <c r="YE38" s="162"/>
      <c r="YF38" s="162"/>
      <c r="YG38" s="162"/>
      <c r="YH38" s="162"/>
      <c r="YI38" s="162"/>
      <c r="YJ38" s="162"/>
      <c r="YK38" s="162"/>
      <c r="YL38" s="162"/>
      <c r="YM38" s="162"/>
      <c r="YN38" s="162"/>
      <c r="YO38" s="162"/>
      <c r="YP38" s="162"/>
      <c r="YQ38" s="162"/>
      <c r="YR38" s="162"/>
      <c r="YS38" s="162"/>
      <c r="YT38" s="162"/>
      <c r="YU38" s="162"/>
      <c r="YV38" s="162"/>
      <c r="YW38" s="162"/>
      <c r="YX38" s="162"/>
    </row>
    <row r="39" spans="1:674" s="162" customFormat="1" ht="20.100000000000001" customHeight="1">
      <c r="A39" s="150">
        <v>30</v>
      </c>
      <c r="B39" s="164" t="s">
        <v>534</v>
      </c>
      <c r="C39" s="156" t="s">
        <v>467</v>
      </c>
      <c r="D39" s="165"/>
      <c r="E39" s="165"/>
      <c r="F39" s="165"/>
      <c r="G39" s="152" t="s">
        <v>123</v>
      </c>
      <c r="H39" s="165"/>
      <c r="I39" s="166"/>
      <c r="J39" s="157"/>
      <c r="K39" s="166"/>
      <c r="L39" s="159"/>
      <c r="M39" s="167"/>
      <c r="N39" s="167"/>
      <c r="O39" s="168"/>
      <c r="P39" s="169"/>
    </row>
    <row r="40" spans="1:674" s="162" customFormat="1" ht="47.45" customHeight="1">
      <c r="A40" s="150">
        <v>31</v>
      </c>
      <c r="B40" s="164" t="s">
        <v>535</v>
      </c>
      <c r="C40" s="156" t="s">
        <v>467</v>
      </c>
      <c r="D40" s="165"/>
      <c r="E40" s="165"/>
      <c r="F40" s="165"/>
      <c r="G40" s="152" t="s">
        <v>123</v>
      </c>
      <c r="H40" s="165"/>
      <c r="I40" s="166"/>
      <c r="J40" s="157"/>
      <c r="K40" s="166"/>
      <c r="L40" s="159"/>
      <c r="M40" s="167"/>
      <c r="N40" s="167"/>
      <c r="O40" s="168"/>
      <c r="P40" s="169"/>
    </row>
    <row r="41" spans="1:674" s="162" customFormat="1" ht="20.100000000000001" customHeight="1">
      <c r="A41" s="150">
        <v>32</v>
      </c>
      <c r="B41" s="164" t="s">
        <v>536</v>
      </c>
      <c r="C41" s="156" t="s">
        <v>467</v>
      </c>
      <c r="D41" s="165"/>
      <c r="E41" s="165"/>
      <c r="F41" s="165"/>
      <c r="G41" s="152" t="s">
        <v>123</v>
      </c>
      <c r="H41" s="165"/>
      <c r="I41" s="166" t="s">
        <v>537</v>
      </c>
      <c r="J41" s="157" t="s">
        <v>538</v>
      </c>
      <c r="K41" s="166"/>
      <c r="L41" s="159" t="s">
        <v>539</v>
      </c>
      <c r="M41" s="167"/>
      <c r="N41" s="167"/>
      <c r="O41" s="168"/>
      <c r="P41" s="169"/>
    </row>
    <row r="42" spans="1:674" s="162" customFormat="1" ht="30" customHeight="1">
      <c r="A42" s="156">
        <v>33</v>
      </c>
      <c r="B42" s="164" t="s">
        <v>540</v>
      </c>
      <c r="C42" s="156" t="s">
        <v>467</v>
      </c>
      <c r="D42" s="165"/>
      <c r="E42" s="165"/>
      <c r="F42" s="165"/>
      <c r="G42" s="152" t="s">
        <v>123</v>
      </c>
      <c r="H42" s="165"/>
      <c r="I42" s="166" t="s">
        <v>541</v>
      </c>
      <c r="J42" s="157"/>
      <c r="K42" s="166"/>
      <c r="L42" s="159"/>
      <c r="M42" s="167"/>
      <c r="N42" s="167"/>
      <c r="O42" s="168"/>
      <c r="P42" s="169"/>
    </row>
    <row r="43" spans="1:674" s="162" customFormat="1" ht="30" customHeight="1">
      <c r="A43" s="156">
        <v>34</v>
      </c>
      <c r="B43" s="164" t="s">
        <v>542</v>
      </c>
      <c r="C43" s="156" t="s">
        <v>467</v>
      </c>
      <c r="D43" s="165"/>
      <c r="E43" s="165"/>
      <c r="F43" s="165"/>
      <c r="G43" s="152" t="s">
        <v>123</v>
      </c>
      <c r="H43" s="165"/>
      <c r="I43" s="166" t="s">
        <v>543</v>
      </c>
      <c r="J43" s="157"/>
      <c r="K43" s="166"/>
      <c r="L43" s="159"/>
      <c r="M43" s="167"/>
      <c r="N43" s="167"/>
      <c r="O43" s="168"/>
      <c r="P43" s="169"/>
    </row>
    <row r="44" spans="1:674" s="162" customFormat="1" ht="18">
      <c r="A44" s="156"/>
      <c r="B44" s="151"/>
      <c r="C44" s="152"/>
      <c r="D44" s="153"/>
      <c r="E44" s="154"/>
      <c r="F44" s="155"/>
      <c r="G44" s="152"/>
      <c r="H44" s="154"/>
      <c r="I44" s="156"/>
      <c r="J44" s="157"/>
      <c r="K44" s="158"/>
      <c r="L44" s="159"/>
      <c r="M44" s="159"/>
      <c r="N44" s="163"/>
      <c r="O44" s="161"/>
    </row>
    <row r="45" spans="1:674" s="147" customFormat="1" ht="25.5" customHeight="1">
      <c r="B45" s="151"/>
      <c r="C45" s="152"/>
      <c r="D45" s="156"/>
      <c r="E45" s="154"/>
      <c r="F45" s="155"/>
      <c r="G45" s="162"/>
      <c r="H45" s="154"/>
      <c r="I45" s="156"/>
      <c r="J45" s="157"/>
      <c r="K45" s="158"/>
      <c r="L45" s="165"/>
      <c r="M45" s="156"/>
      <c r="N45" s="160"/>
      <c r="O45" s="161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2"/>
      <c r="AQ45" s="162"/>
      <c r="AR45" s="162"/>
      <c r="AS45" s="162"/>
      <c r="AT45" s="162"/>
      <c r="AU45" s="162"/>
      <c r="AV45" s="162"/>
      <c r="AW45" s="162"/>
      <c r="AX45" s="162"/>
      <c r="AY45" s="162"/>
      <c r="AZ45" s="162"/>
      <c r="BA45" s="162"/>
      <c r="BB45" s="162"/>
      <c r="BC45" s="162"/>
      <c r="BD45" s="162"/>
      <c r="BE45" s="162"/>
      <c r="BF45" s="162"/>
      <c r="BG45" s="162"/>
      <c r="BH45" s="162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  <c r="BW45" s="162"/>
      <c r="BX45" s="162"/>
      <c r="BY45" s="162"/>
      <c r="BZ45" s="162"/>
      <c r="CA45" s="162"/>
      <c r="CB45" s="162"/>
      <c r="CC45" s="162"/>
      <c r="CD45" s="162"/>
      <c r="CE45" s="162"/>
      <c r="CF45" s="162"/>
      <c r="CG45" s="162"/>
      <c r="CH45" s="162"/>
      <c r="CI45" s="162"/>
      <c r="CJ45" s="162"/>
      <c r="CK45" s="162"/>
      <c r="CL45" s="162"/>
      <c r="CM45" s="162"/>
      <c r="CN45" s="162"/>
      <c r="CO45" s="162"/>
      <c r="CP45" s="162"/>
      <c r="CQ45" s="162"/>
      <c r="CR45" s="162"/>
      <c r="CS45" s="162"/>
      <c r="CT45" s="162"/>
      <c r="CU45" s="162"/>
      <c r="CV45" s="162"/>
      <c r="CW45" s="162"/>
      <c r="CX45" s="162"/>
      <c r="CY45" s="162"/>
      <c r="CZ45" s="162"/>
      <c r="DA45" s="162"/>
      <c r="DB45" s="162"/>
      <c r="DC45" s="162"/>
      <c r="DD45" s="162"/>
      <c r="DE45" s="162"/>
      <c r="DF45" s="162"/>
      <c r="DG45" s="162"/>
      <c r="DH45" s="162"/>
      <c r="DI45" s="162"/>
      <c r="DJ45" s="162"/>
      <c r="DK45" s="162"/>
      <c r="DL45" s="162"/>
      <c r="DM45" s="162"/>
      <c r="DN45" s="162"/>
      <c r="DO45" s="162"/>
      <c r="DP45" s="162"/>
      <c r="DQ45" s="162"/>
      <c r="DR45" s="162"/>
      <c r="DS45" s="162"/>
      <c r="DT45" s="162"/>
      <c r="DU45" s="162"/>
      <c r="DV45" s="162"/>
      <c r="DW45" s="162"/>
      <c r="DX45" s="162"/>
      <c r="DY45" s="162"/>
      <c r="DZ45" s="162"/>
      <c r="EA45" s="162"/>
      <c r="EB45" s="162"/>
      <c r="EC45" s="162"/>
      <c r="ED45" s="162"/>
      <c r="EE45" s="162"/>
      <c r="EF45" s="162"/>
      <c r="EG45" s="162"/>
      <c r="EH45" s="162"/>
      <c r="EI45" s="162"/>
      <c r="EJ45" s="162"/>
      <c r="EK45" s="162"/>
      <c r="EL45" s="162"/>
      <c r="EM45" s="162"/>
      <c r="EN45" s="162"/>
      <c r="EO45" s="162"/>
      <c r="EP45" s="162"/>
      <c r="EQ45" s="162"/>
      <c r="ER45" s="162"/>
      <c r="ES45" s="162"/>
      <c r="ET45" s="162"/>
      <c r="EU45" s="162"/>
      <c r="EV45" s="162"/>
      <c r="EW45" s="162"/>
      <c r="EX45" s="162"/>
      <c r="EY45" s="162"/>
      <c r="EZ45" s="162"/>
      <c r="FA45" s="162"/>
      <c r="FB45" s="162"/>
      <c r="FC45" s="162"/>
      <c r="FD45" s="162"/>
      <c r="FE45" s="162"/>
      <c r="FF45" s="162"/>
      <c r="FG45" s="162"/>
      <c r="FH45" s="162"/>
      <c r="FI45" s="162"/>
      <c r="FJ45" s="162"/>
      <c r="FK45" s="162"/>
      <c r="FL45" s="162"/>
      <c r="FM45" s="162"/>
      <c r="FN45" s="162"/>
      <c r="FO45" s="162"/>
      <c r="FP45" s="162"/>
      <c r="FQ45" s="162"/>
      <c r="FR45" s="162"/>
      <c r="FS45" s="162"/>
      <c r="FT45" s="162"/>
      <c r="FU45" s="162"/>
      <c r="FV45" s="162"/>
      <c r="FW45" s="162"/>
      <c r="FX45" s="162"/>
      <c r="FY45" s="162"/>
      <c r="FZ45" s="162"/>
      <c r="GA45" s="162"/>
      <c r="GB45" s="162"/>
      <c r="GC45" s="162"/>
      <c r="GD45" s="162"/>
      <c r="GE45" s="162"/>
      <c r="GF45" s="162"/>
      <c r="GG45" s="162"/>
      <c r="GH45" s="162"/>
      <c r="GI45" s="162"/>
      <c r="GJ45" s="162"/>
      <c r="GK45" s="162"/>
      <c r="GL45" s="162"/>
      <c r="GM45" s="162"/>
      <c r="GN45" s="162"/>
      <c r="GO45" s="162"/>
      <c r="GP45" s="162"/>
      <c r="GQ45" s="162"/>
      <c r="GR45" s="162"/>
      <c r="GS45" s="162"/>
      <c r="GT45" s="162"/>
      <c r="GU45" s="162"/>
      <c r="GV45" s="162"/>
      <c r="GW45" s="162"/>
      <c r="GX45" s="162"/>
      <c r="GY45" s="162"/>
      <c r="GZ45" s="162"/>
      <c r="HA45" s="162"/>
      <c r="HB45" s="162"/>
      <c r="HC45" s="162"/>
      <c r="HD45" s="162"/>
      <c r="HE45" s="162"/>
      <c r="HF45" s="162"/>
      <c r="HG45" s="162"/>
      <c r="HH45" s="162"/>
      <c r="HI45" s="162"/>
      <c r="HJ45" s="162"/>
      <c r="HK45" s="162"/>
      <c r="HL45" s="162"/>
      <c r="HM45" s="162"/>
      <c r="HN45" s="162"/>
      <c r="HO45" s="162"/>
      <c r="HP45" s="162"/>
      <c r="HQ45" s="162"/>
      <c r="HR45" s="162"/>
      <c r="HS45" s="162"/>
      <c r="HT45" s="162"/>
      <c r="HU45" s="162"/>
      <c r="HV45" s="162"/>
      <c r="HW45" s="162"/>
      <c r="HX45" s="162"/>
      <c r="HY45" s="162"/>
      <c r="HZ45" s="162"/>
      <c r="IA45" s="162"/>
      <c r="IB45" s="162"/>
      <c r="IC45" s="162"/>
      <c r="ID45" s="162"/>
      <c r="IE45" s="162"/>
      <c r="IF45" s="162"/>
      <c r="IG45" s="162"/>
      <c r="IH45" s="162"/>
      <c r="II45" s="162"/>
      <c r="IJ45" s="162"/>
      <c r="IK45" s="162"/>
      <c r="IL45" s="162"/>
      <c r="IM45" s="162"/>
      <c r="IN45" s="162"/>
      <c r="IO45" s="162"/>
      <c r="IP45" s="162"/>
      <c r="IQ45" s="162"/>
      <c r="IR45" s="162"/>
      <c r="IS45" s="162"/>
      <c r="IT45" s="162"/>
      <c r="IU45" s="162"/>
      <c r="IV45" s="162"/>
      <c r="IW45" s="162"/>
      <c r="IX45" s="162"/>
      <c r="IY45" s="162"/>
      <c r="IZ45" s="162"/>
      <c r="JA45" s="162"/>
      <c r="JB45" s="162"/>
      <c r="JC45" s="162"/>
      <c r="JD45" s="162"/>
      <c r="JE45" s="162"/>
      <c r="JF45" s="162"/>
      <c r="JG45" s="162"/>
      <c r="JH45" s="162"/>
      <c r="JI45" s="162"/>
      <c r="JJ45" s="162"/>
      <c r="JK45" s="162"/>
      <c r="JL45" s="162"/>
      <c r="JM45" s="162"/>
      <c r="JN45" s="162"/>
      <c r="JO45" s="162"/>
      <c r="JP45" s="162"/>
      <c r="JQ45" s="162"/>
      <c r="JR45" s="162"/>
      <c r="JS45" s="162"/>
      <c r="JT45" s="162"/>
      <c r="JU45" s="162"/>
      <c r="JV45" s="162"/>
      <c r="JW45" s="162"/>
      <c r="JX45" s="162"/>
      <c r="JY45" s="162"/>
      <c r="JZ45" s="162"/>
      <c r="KA45" s="162"/>
      <c r="KB45" s="162"/>
      <c r="KC45" s="162"/>
      <c r="KD45" s="162"/>
      <c r="KE45" s="162"/>
      <c r="KF45" s="162"/>
      <c r="KG45" s="162"/>
      <c r="KH45" s="162"/>
      <c r="KI45" s="162"/>
      <c r="KJ45" s="162"/>
      <c r="KK45" s="162"/>
      <c r="KL45" s="162"/>
      <c r="KM45" s="162"/>
      <c r="KN45" s="162"/>
      <c r="KO45" s="162"/>
      <c r="KP45" s="162"/>
      <c r="KQ45" s="162"/>
      <c r="KR45" s="162"/>
      <c r="KS45" s="162"/>
      <c r="KT45" s="162"/>
      <c r="KU45" s="162"/>
      <c r="KV45" s="162"/>
      <c r="KW45" s="162"/>
      <c r="KX45" s="162"/>
      <c r="KY45" s="162"/>
      <c r="KZ45" s="162"/>
      <c r="LA45" s="162"/>
      <c r="LB45" s="162"/>
      <c r="LC45" s="162"/>
      <c r="LD45" s="162"/>
      <c r="LE45" s="162"/>
      <c r="LF45" s="162"/>
      <c r="LG45" s="162"/>
      <c r="LH45" s="162"/>
      <c r="LI45" s="162"/>
      <c r="LJ45" s="162"/>
      <c r="LK45" s="162"/>
      <c r="LL45" s="162"/>
      <c r="LM45" s="162"/>
      <c r="LN45" s="162"/>
      <c r="LO45" s="162"/>
      <c r="LP45" s="162"/>
      <c r="LQ45" s="162"/>
      <c r="LR45" s="162"/>
      <c r="LS45" s="162"/>
      <c r="LT45" s="162"/>
      <c r="LU45" s="162"/>
      <c r="LV45" s="162"/>
      <c r="LW45" s="162"/>
      <c r="LX45" s="162"/>
      <c r="LY45" s="162"/>
      <c r="LZ45" s="162"/>
      <c r="MA45" s="162"/>
      <c r="MB45" s="162"/>
      <c r="MC45" s="162"/>
      <c r="MD45" s="162"/>
      <c r="ME45" s="162"/>
      <c r="MF45" s="162"/>
      <c r="MG45" s="162"/>
      <c r="MH45" s="162"/>
      <c r="MI45" s="162"/>
      <c r="MJ45" s="162"/>
      <c r="MK45" s="162"/>
      <c r="ML45" s="162"/>
      <c r="MM45" s="162"/>
      <c r="MN45" s="162"/>
      <c r="MO45" s="162"/>
      <c r="MP45" s="162"/>
      <c r="MQ45" s="162"/>
      <c r="MR45" s="162"/>
      <c r="MS45" s="162"/>
      <c r="MT45" s="162"/>
      <c r="MU45" s="162"/>
      <c r="MV45" s="162"/>
      <c r="MW45" s="162"/>
      <c r="MX45" s="162"/>
      <c r="MY45" s="162"/>
      <c r="MZ45" s="162"/>
      <c r="NA45" s="162"/>
      <c r="NB45" s="162"/>
      <c r="NC45" s="162"/>
      <c r="ND45" s="162"/>
      <c r="NE45" s="162"/>
      <c r="NF45" s="162"/>
      <c r="NG45" s="162"/>
      <c r="NH45" s="162"/>
      <c r="NI45" s="162"/>
      <c r="NJ45" s="162"/>
      <c r="NK45" s="162"/>
      <c r="NL45" s="162"/>
      <c r="NM45" s="162"/>
      <c r="NN45" s="162"/>
      <c r="NO45" s="162"/>
      <c r="NP45" s="162"/>
      <c r="NQ45" s="162"/>
      <c r="NR45" s="162"/>
      <c r="NS45" s="162"/>
      <c r="NT45" s="162"/>
      <c r="NU45" s="162"/>
      <c r="NV45" s="162"/>
      <c r="NW45" s="162"/>
      <c r="NX45" s="162"/>
      <c r="NY45" s="162"/>
      <c r="NZ45" s="162"/>
      <c r="OA45" s="162"/>
      <c r="OB45" s="162"/>
      <c r="OC45" s="162"/>
      <c r="OD45" s="162"/>
      <c r="OE45" s="162"/>
      <c r="OF45" s="162"/>
      <c r="OG45" s="162"/>
      <c r="OH45" s="162"/>
      <c r="OI45" s="162"/>
      <c r="OJ45" s="162"/>
      <c r="OK45" s="162"/>
      <c r="OL45" s="162"/>
      <c r="OM45" s="162"/>
      <c r="ON45" s="162"/>
      <c r="OO45" s="162"/>
      <c r="OP45" s="162"/>
      <c r="OQ45" s="162"/>
      <c r="OR45" s="162"/>
      <c r="OS45" s="162"/>
      <c r="OT45" s="162"/>
      <c r="OU45" s="162"/>
      <c r="OV45" s="162"/>
      <c r="OW45" s="162"/>
      <c r="OX45" s="162"/>
      <c r="OY45" s="162"/>
      <c r="OZ45" s="162"/>
      <c r="PA45" s="162"/>
      <c r="PB45" s="162"/>
      <c r="PC45" s="162"/>
      <c r="PD45" s="162"/>
      <c r="PE45" s="162"/>
      <c r="PF45" s="162"/>
      <c r="PG45" s="162"/>
      <c r="PH45" s="162"/>
      <c r="PI45" s="162"/>
      <c r="PJ45" s="162"/>
      <c r="PK45" s="162"/>
      <c r="PL45" s="162"/>
      <c r="PM45" s="162"/>
      <c r="PN45" s="162"/>
      <c r="PO45" s="162"/>
      <c r="PP45" s="162"/>
      <c r="PQ45" s="162"/>
      <c r="PR45" s="162"/>
      <c r="PS45" s="162"/>
      <c r="PT45" s="162"/>
      <c r="PU45" s="162"/>
      <c r="PV45" s="162"/>
      <c r="PW45" s="162"/>
      <c r="PX45" s="162"/>
      <c r="PY45" s="162"/>
      <c r="PZ45" s="162"/>
      <c r="QA45" s="162"/>
      <c r="QB45" s="162"/>
      <c r="QC45" s="162"/>
      <c r="QD45" s="162"/>
      <c r="QE45" s="162"/>
      <c r="QF45" s="162"/>
      <c r="QG45" s="162"/>
      <c r="QH45" s="162"/>
      <c r="QI45" s="162"/>
      <c r="QJ45" s="162"/>
      <c r="QK45" s="162"/>
      <c r="QL45" s="162"/>
      <c r="QM45" s="162"/>
      <c r="QN45" s="162"/>
      <c r="QO45" s="162"/>
      <c r="QP45" s="162"/>
      <c r="QQ45" s="162"/>
      <c r="QR45" s="162"/>
      <c r="QS45" s="162"/>
      <c r="QT45" s="162"/>
      <c r="QU45" s="162"/>
      <c r="QV45" s="162"/>
      <c r="QW45" s="162"/>
      <c r="QX45" s="162"/>
      <c r="QY45" s="162"/>
      <c r="QZ45" s="162"/>
      <c r="RA45" s="162"/>
      <c r="RB45" s="162"/>
      <c r="RC45" s="162"/>
      <c r="RD45" s="162"/>
      <c r="RE45" s="162"/>
      <c r="RF45" s="162"/>
      <c r="RG45" s="162"/>
      <c r="RH45" s="162"/>
      <c r="RI45" s="162"/>
      <c r="RJ45" s="162"/>
      <c r="RK45" s="162"/>
      <c r="RL45" s="162"/>
      <c r="RM45" s="162"/>
      <c r="RN45" s="162"/>
      <c r="RO45" s="162"/>
      <c r="RP45" s="162"/>
      <c r="RQ45" s="162"/>
      <c r="RR45" s="162"/>
      <c r="RS45" s="162"/>
      <c r="RT45" s="162"/>
      <c r="RU45" s="162"/>
      <c r="RV45" s="162"/>
      <c r="RW45" s="162"/>
      <c r="RX45" s="162"/>
      <c r="RY45" s="162"/>
      <c r="RZ45" s="162"/>
      <c r="SA45" s="162"/>
      <c r="SB45" s="162"/>
      <c r="SC45" s="162"/>
      <c r="SD45" s="162"/>
      <c r="SE45" s="162"/>
      <c r="SF45" s="162"/>
      <c r="SG45" s="162"/>
      <c r="SH45" s="162"/>
      <c r="SI45" s="162"/>
      <c r="SJ45" s="162"/>
      <c r="SK45" s="162"/>
      <c r="SL45" s="162"/>
      <c r="SM45" s="162"/>
      <c r="SN45" s="162"/>
      <c r="SO45" s="162"/>
      <c r="SP45" s="162"/>
      <c r="SQ45" s="162"/>
      <c r="SR45" s="162"/>
      <c r="SS45" s="162"/>
      <c r="ST45" s="162"/>
      <c r="SU45" s="162"/>
      <c r="SV45" s="162"/>
      <c r="SW45" s="162"/>
      <c r="SX45" s="162"/>
      <c r="SY45" s="162"/>
      <c r="SZ45" s="162"/>
      <c r="TA45" s="162"/>
      <c r="TB45" s="162"/>
      <c r="TC45" s="162"/>
      <c r="TD45" s="162"/>
      <c r="TE45" s="162"/>
      <c r="TF45" s="162"/>
      <c r="TG45" s="162"/>
      <c r="TH45" s="162"/>
      <c r="TI45" s="162"/>
      <c r="TJ45" s="162"/>
      <c r="TK45" s="162"/>
      <c r="TL45" s="162"/>
      <c r="TM45" s="162"/>
      <c r="TN45" s="162"/>
      <c r="TO45" s="162"/>
      <c r="TP45" s="162"/>
      <c r="TQ45" s="162"/>
      <c r="TR45" s="162"/>
      <c r="TS45" s="162"/>
      <c r="TT45" s="162"/>
      <c r="TU45" s="162"/>
      <c r="TV45" s="162"/>
      <c r="TW45" s="162"/>
      <c r="TX45" s="162"/>
      <c r="TY45" s="162"/>
      <c r="TZ45" s="162"/>
      <c r="UA45" s="162"/>
      <c r="UB45" s="162"/>
      <c r="UC45" s="162"/>
      <c r="UD45" s="162"/>
      <c r="UE45" s="162"/>
      <c r="UF45" s="162"/>
      <c r="UG45" s="162"/>
      <c r="UH45" s="162"/>
      <c r="UI45" s="162"/>
      <c r="UJ45" s="162"/>
      <c r="UK45" s="162"/>
      <c r="UL45" s="162"/>
      <c r="UM45" s="162"/>
      <c r="UN45" s="162"/>
      <c r="UO45" s="162"/>
      <c r="UP45" s="162"/>
      <c r="UQ45" s="162"/>
      <c r="UR45" s="162"/>
      <c r="US45" s="162"/>
      <c r="UT45" s="162"/>
      <c r="UU45" s="162"/>
      <c r="UV45" s="162"/>
      <c r="UW45" s="162"/>
      <c r="UX45" s="162"/>
      <c r="UY45" s="162"/>
      <c r="UZ45" s="162"/>
      <c r="VA45" s="162"/>
      <c r="VB45" s="162"/>
      <c r="VC45" s="162"/>
      <c r="VD45" s="162"/>
      <c r="VE45" s="162"/>
      <c r="VF45" s="162"/>
      <c r="VG45" s="162"/>
      <c r="VH45" s="162"/>
      <c r="VI45" s="162"/>
      <c r="VJ45" s="162"/>
      <c r="VK45" s="162"/>
      <c r="VL45" s="162"/>
      <c r="VM45" s="162"/>
      <c r="VN45" s="162"/>
      <c r="VO45" s="162"/>
      <c r="VP45" s="162"/>
      <c r="VQ45" s="162"/>
      <c r="VR45" s="162"/>
      <c r="VS45" s="162"/>
      <c r="VT45" s="162"/>
      <c r="VU45" s="162"/>
      <c r="VV45" s="162"/>
      <c r="VW45" s="162"/>
      <c r="VX45" s="162"/>
      <c r="VY45" s="162"/>
      <c r="VZ45" s="162"/>
      <c r="WA45" s="162"/>
      <c r="WB45" s="162"/>
      <c r="WC45" s="162"/>
      <c r="WD45" s="162"/>
      <c r="WE45" s="162"/>
      <c r="WF45" s="162"/>
      <c r="WG45" s="162"/>
      <c r="WH45" s="162"/>
      <c r="WI45" s="162"/>
      <c r="WJ45" s="162"/>
      <c r="WK45" s="162"/>
      <c r="WL45" s="162"/>
      <c r="WM45" s="162"/>
      <c r="WN45" s="162"/>
      <c r="WO45" s="162"/>
      <c r="WP45" s="162"/>
      <c r="WQ45" s="162"/>
      <c r="WR45" s="162"/>
      <c r="WS45" s="162"/>
      <c r="WT45" s="162"/>
      <c r="WU45" s="162"/>
      <c r="WV45" s="162"/>
      <c r="WW45" s="162"/>
      <c r="WX45" s="162"/>
      <c r="WY45" s="162"/>
      <c r="WZ45" s="162"/>
      <c r="XA45" s="162"/>
      <c r="XB45" s="162"/>
      <c r="XC45" s="162"/>
      <c r="XD45" s="162"/>
      <c r="XE45" s="162"/>
      <c r="XF45" s="162"/>
      <c r="XG45" s="162"/>
      <c r="XH45" s="162"/>
      <c r="XI45" s="162"/>
      <c r="XJ45" s="162"/>
      <c r="XK45" s="162"/>
      <c r="XL45" s="162"/>
      <c r="XM45" s="162"/>
      <c r="XN45" s="162"/>
      <c r="XO45" s="162"/>
      <c r="XP45" s="162"/>
      <c r="XQ45" s="162"/>
      <c r="XR45" s="162"/>
      <c r="XS45" s="162"/>
      <c r="XT45" s="162"/>
      <c r="XU45" s="162"/>
      <c r="XV45" s="162"/>
      <c r="XW45" s="162"/>
      <c r="XX45" s="162"/>
      <c r="XY45" s="162"/>
      <c r="XZ45" s="162"/>
      <c r="YA45" s="162"/>
      <c r="YB45" s="162"/>
      <c r="YC45" s="162"/>
      <c r="YD45" s="162"/>
      <c r="YE45" s="162"/>
      <c r="YF45" s="162"/>
      <c r="YG45" s="162"/>
      <c r="YH45" s="162"/>
      <c r="YI45" s="162"/>
      <c r="YJ45" s="162"/>
      <c r="YK45" s="162"/>
      <c r="YL45" s="162"/>
      <c r="YM45" s="162"/>
      <c r="YN45" s="162"/>
      <c r="YO45" s="162"/>
      <c r="YP45" s="162"/>
      <c r="YQ45" s="162"/>
      <c r="YR45" s="162"/>
      <c r="YS45" s="162"/>
      <c r="YT45" s="162"/>
      <c r="YU45" s="162"/>
      <c r="YV45" s="162"/>
      <c r="YW45" s="162"/>
      <c r="YX45" s="162"/>
    </row>
    <row r="46" spans="1:674" s="162" customFormat="1" ht="19.5" customHeight="1">
      <c r="A46" s="156"/>
      <c r="B46" s="148" t="s">
        <v>544</v>
      </c>
      <c r="C46" s="147"/>
      <c r="D46" s="171"/>
      <c r="E46" s="171"/>
      <c r="F46" s="147"/>
      <c r="G46" s="147"/>
      <c r="H46" s="171"/>
      <c r="I46" s="171"/>
      <c r="J46" s="149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  <c r="BI46" s="147"/>
      <c r="BJ46" s="147"/>
      <c r="BK46" s="147"/>
      <c r="BL46" s="147"/>
      <c r="BM46" s="147"/>
      <c r="BN46" s="147"/>
      <c r="BO46" s="147"/>
      <c r="BP46" s="147"/>
      <c r="BQ46" s="147"/>
      <c r="BR46" s="147"/>
      <c r="BS46" s="147"/>
      <c r="BT46" s="147"/>
      <c r="BU46" s="147"/>
      <c r="BV46" s="147"/>
      <c r="BW46" s="147"/>
      <c r="BX46" s="147"/>
      <c r="BY46" s="147"/>
      <c r="BZ46" s="147"/>
      <c r="CA46" s="147"/>
      <c r="CB46" s="147"/>
      <c r="CC46" s="147"/>
      <c r="CD46" s="147"/>
      <c r="CE46" s="147"/>
      <c r="CF46" s="147"/>
      <c r="CG46" s="147"/>
      <c r="CH46" s="147"/>
      <c r="CI46" s="147"/>
      <c r="CJ46" s="147"/>
      <c r="CK46" s="147"/>
      <c r="CL46" s="147"/>
      <c r="CM46" s="147"/>
      <c r="CN46" s="147"/>
      <c r="CO46" s="147"/>
      <c r="CP46" s="147"/>
      <c r="CQ46" s="147"/>
      <c r="CR46" s="147"/>
      <c r="CS46" s="147"/>
      <c r="CT46" s="147"/>
      <c r="CU46" s="147"/>
      <c r="CV46" s="147"/>
      <c r="CW46" s="147"/>
      <c r="CX46" s="147"/>
      <c r="CY46" s="147"/>
      <c r="CZ46" s="147"/>
      <c r="DA46" s="147"/>
      <c r="DB46" s="147"/>
      <c r="DC46" s="147"/>
      <c r="DD46" s="147"/>
      <c r="DE46" s="147"/>
      <c r="DF46" s="147"/>
      <c r="DG46" s="147"/>
      <c r="DH46" s="147"/>
      <c r="DI46" s="147"/>
      <c r="DJ46" s="147"/>
      <c r="DK46" s="147"/>
      <c r="DL46" s="147"/>
      <c r="DM46" s="147"/>
      <c r="DN46" s="147"/>
      <c r="DO46" s="147"/>
      <c r="DP46" s="147"/>
      <c r="DQ46" s="147"/>
      <c r="DR46" s="147"/>
      <c r="DS46" s="147"/>
      <c r="DT46" s="147"/>
      <c r="DU46" s="147"/>
      <c r="DV46" s="147"/>
      <c r="DW46" s="147"/>
      <c r="DX46" s="147"/>
      <c r="DY46" s="147"/>
      <c r="DZ46" s="147"/>
      <c r="EA46" s="147"/>
      <c r="EB46" s="147"/>
      <c r="EC46" s="147"/>
      <c r="ED46" s="147"/>
      <c r="EE46" s="147"/>
      <c r="EF46" s="147"/>
      <c r="EG46" s="147"/>
      <c r="EH46" s="147"/>
      <c r="EI46" s="147"/>
      <c r="EJ46" s="147"/>
      <c r="EK46" s="147"/>
      <c r="EL46" s="147"/>
      <c r="EM46" s="147"/>
      <c r="EN46" s="147"/>
      <c r="EO46" s="147"/>
      <c r="EP46" s="147"/>
      <c r="EQ46" s="147"/>
      <c r="ER46" s="147"/>
      <c r="ES46" s="147"/>
      <c r="ET46" s="147"/>
      <c r="EU46" s="147"/>
      <c r="EV46" s="147"/>
      <c r="EW46" s="147"/>
      <c r="EX46" s="147"/>
      <c r="EY46" s="147"/>
      <c r="EZ46" s="147"/>
      <c r="FA46" s="147"/>
      <c r="FB46" s="147"/>
      <c r="FC46" s="147"/>
      <c r="FD46" s="147"/>
      <c r="FE46" s="147"/>
      <c r="FF46" s="147"/>
      <c r="FG46" s="147"/>
      <c r="FH46" s="147"/>
      <c r="FI46" s="147"/>
      <c r="FJ46" s="147"/>
      <c r="FK46" s="147"/>
      <c r="FL46" s="147"/>
      <c r="FM46" s="147"/>
      <c r="FN46" s="147"/>
      <c r="FO46" s="147"/>
      <c r="FP46" s="147"/>
      <c r="FQ46" s="147"/>
      <c r="FR46" s="147"/>
      <c r="FS46" s="147"/>
      <c r="FT46" s="147"/>
      <c r="FU46" s="147"/>
      <c r="FV46" s="147"/>
      <c r="FW46" s="147"/>
      <c r="FX46" s="147"/>
      <c r="FY46" s="147"/>
      <c r="FZ46" s="147"/>
      <c r="GA46" s="147"/>
      <c r="GB46" s="147"/>
      <c r="GC46" s="147"/>
      <c r="GD46" s="147"/>
      <c r="GE46" s="147"/>
      <c r="GF46" s="147"/>
      <c r="GG46" s="147"/>
      <c r="GH46" s="147"/>
      <c r="GI46" s="147"/>
      <c r="GJ46" s="147"/>
      <c r="GK46" s="147"/>
      <c r="GL46" s="147"/>
      <c r="GM46" s="147"/>
      <c r="GN46" s="147"/>
      <c r="GO46" s="147"/>
      <c r="GP46" s="147"/>
      <c r="GQ46" s="147"/>
      <c r="GR46" s="147"/>
      <c r="GS46" s="147"/>
      <c r="GT46" s="147"/>
      <c r="GU46" s="147"/>
      <c r="GV46" s="147"/>
      <c r="GW46" s="147"/>
      <c r="GX46" s="147"/>
      <c r="GY46" s="147"/>
      <c r="GZ46" s="147"/>
      <c r="HA46" s="147"/>
      <c r="HB46" s="147"/>
      <c r="HC46" s="147"/>
      <c r="HD46" s="147"/>
      <c r="HE46" s="147"/>
      <c r="HF46" s="147"/>
      <c r="HG46" s="147"/>
      <c r="HH46" s="147"/>
      <c r="HI46" s="147"/>
      <c r="HJ46" s="147"/>
      <c r="HK46" s="147"/>
      <c r="HL46" s="147"/>
      <c r="HM46" s="147"/>
      <c r="HN46" s="147"/>
      <c r="HO46" s="147"/>
      <c r="HP46" s="147"/>
      <c r="HQ46" s="147"/>
      <c r="HR46" s="147"/>
      <c r="HS46" s="147"/>
      <c r="HT46" s="147"/>
      <c r="HU46" s="147"/>
      <c r="HV46" s="147"/>
      <c r="HW46" s="147"/>
      <c r="HX46" s="147"/>
      <c r="HY46" s="147"/>
      <c r="HZ46" s="147"/>
      <c r="IA46" s="147"/>
      <c r="IB46" s="147"/>
      <c r="IC46" s="147"/>
      <c r="ID46" s="147"/>
      <c r="IE46" s="147"/>
      <c r="IF46" s="147"/>
      <c r="IG46" s="147"/>
      <c r="IH46" s="147"/>
      <c r="II46" s="147"/>
      <c r="IJ46" s="147"/>
      <c r="IK46" s="147"/>
      <c r="IL46" s="147"/>
      <c r="IM46" s="147"/>
      <c r="IN46" s="147"/>
      <c r="IO46" s="147"/>
      <c r="IP46" s="147"/>
      <c r="IQ46" s="147"/>
      <c r="IR46" s="147"/>
      <c r="IS46" s="147"/>
      <c r="IT46" s="147"/>
      <c r="IU46" s="147"/>
      <c r="IV46" s="147"/>
      <c r="IW46" s="147"/>
      <c r="IX46" s="147"/>
      <c r="IY46" s="147"/>
      <c r="IZ46" s="147"/>
      <c r="JA46" s="147"/>
      <c r="JB46" s="147"/>
      <c r="JC46" s="147"/>
      <c r="JD46" s="147"/>
      <c r="JE46" s="147"/>
      <c r="JF46" s="147"/>
      <c r="JG46" s="147"/>
      <c r="JH46" s="147"/>
      <c r="JI46" s="147"/>
      <c r="JJ46" s="147"/>
      <c r="JK46" s="147"/>
      <c r="JL46" s="147"/>
      <c r="JM46" s="147"/>
      <c r="JN46" s="147"/>
      <c r="JO46" s="147"/>
      <c r="JP46" s="147"/>
      <c r="JQ46" s="147"/>
      <c r="JR46" s="147"/>
      <c r="JS46" s="147"/>
      <c r="JT46" s="147"/>
      <c r="JU46" s="147"/>
      <c r="JV46" s="147"/>
      <c r="JW46" s="147"/>
      <c r="JX46" s="147"/>
      <c r="JY46" s="147"/>
      <c r="JZ46" s="147"/>
      <c r="KA46" s="147"/>
      <c r="KB46" s="147"/>
      <c r="KC46" s="147"/>
      <c r="KD46" s="147"/>
      <c r="KE46" s="147"/>
      <c r="KF46" s="147"/>
      <c r="KG46" s="147"/>
      <c r="KH46" s="147"/>
      <c r="KI46" s="147"/>
      <c r="KJ46" s="147"/>
      <c r="KK46" s="147"/>
      <c r="KL46" s="147"/>
      <c r="KM46" s="147"/>
      <c r="KN46" s="147"/>
      <c r="KO46" s="147"/>
      <c r="KP46" s="147"/>
      <c r="KQ46" s="147"/>
      <c r="KR46" s="147"/>
      <c r="KS46" s="147"/>
      <c r="KT46" s="147"/>
      <c r="KU46" s="147"/>
      <c r="KV46" s="147"/>
      <c r="KW46" s="147"/>
      <c r="KX46" s="147"/>
      <c r="KY46" s="147"/>
      <c r="KZ46" s="147"/>
      <c r="LA46" s="147"/>
      <c r="LB46" s="147"/>
      <c r="LC46" s="147"/>
      <c r="LD46" s="147"/>
      <c r="LE46" s="147"/>
      <c r="LF46" s="147"/>
      <c r="LG46" s="147"/>
      <c r="LH46" s="147"/>
      <c r="LI46" s="147"/>
      <c r="LJ46" s="147"/>
      <c r="LK46" s="147"/>
      <c r="LL46" s="147"/>
      <c r="LM46" s="147"/>
      <c r="LN46" s="147"/>
      <c r="LO46" s="147"/>
      <c r="LP46" s="147"/>
      <c r="LQ46" s="147"/>
      <c r="LR46" s="147"/>
      <c r="LS46" s="147"/>
      <c r="LT46" s="147"/>
      <c r="LU46" s="147"/>
      <c r="LV46" s="147"/>
      <c r="LW46" s="147"/>
      <c r="LX46" s="147"/>
      <c r="LY46" s="147"/>
      <c r="LZ46" s="147"/>
      <c r="MA46" s="147"/>
      <c r="MB46" s="147"/>
      <c r="MC46" s="147"/>
      <c r="MD46" s="147"/>
      <c r="ME46" s="147"/>
      <c r="MF46" s="147"/>
      <c r="MG46" s="147"/>
      <c r="MH46" s="147"/>
      <c r="MI46" s="147"/>
      <c r="MJ46" s="147"/>
      <c r="MK46" s="147"/>
      <c r="ML46" s="147"/>
      <c r="MM46" s="147"/>
      <c r="MN46" s="147"/>
      <c r="MO46" s="147"/>
      <c r="MP46" s="147"/>
      <c r="MQ46" s="147"/>
      <c r="MR46" s="147"/>
      <c r="MS46" s="147"/>
      <c r="MT46" s="147"/>
      <c r="MU46" s="147"/>
      <c r="MV46" s="147"/>
      <c r="MW46" s="147"/>
      <c r="MX46" s="147"/>
      <c r="MY46" s="147"/>
      <c r="MZ46" s="147"/>
      <c r="NA46" s="147"/>
      <c r="NB46" s="147"/>
      <c r="NC46" s="147"/>
      <c r="ND46" s="147"/>
      <c r="NE46" s="147"/>
      <c r="NF46" s="147"/>
      <c r="NG46" s="147"/>
      <c r="NH46" s="147"/>
      <c r="NI46" s="147"/>
      <c r="NJ46" s="147"/>
      <c r="NK46" s="147"/>
      <c r="NL46" s="147"/>
      <c r="NM46" s="147"/>
      <c r="NN46" s="147"/>
      <c r="NO46" s="147"/>
      <c r="NP46" s="147"/>
      <c r="NQ46" s="147"/>
      <c r="NR46" s="147"/>
      <c r="NS46" s="147"/>
      <c r="NT46" s="147"/>
      <c r="NU46" s="147"/>
      <c r="NV46" s="147"/>
      <c r="NW46" s="147"/>
      <c r="NX46" s="147"/>
      <c r="NY46" s="147"/>
      <c r="NZ46" s="147"/>
      <c r="OA46" s="147"/>
      <c r="OB46" s="147"/>
      <c r="OC46" s="147"/>
      <c r="OD46" s="147"/>
      <c r="OE46" s="147"/>
      <c r="OF46" s="147"/>
      <c r="OG46" s="147"/>
      <c r="OH46" s="147"/>
      <c r="OI46" s="147"/>
      <c r="OJ46" s="147"/>
      <c r="OK46" s="147"/>
      <c r="OL46" s="147"/>
      <c r="OM46" s="147"/>
      <c r="ON46" s="147"/>
      <c r="OO46" s="147"/>
      <c r="OP46" s="147"/>
      <c r="OQ46" s="147"/>
      <c r="OR46" s="147"/>
      <c r="OS46" s="147"/>
      <c r="OT46" s="147"/>
      <c r="OU46" s="147"/>
      <c r="OV46" s="147"/>
      <c r="OW46" s="147"/>
      <c r="OX46" s="147"/>
      <c r="OY46" s="147"/>
      <c r="OZ46" s="147"/>
      <c r="PA46" s="147"/>
      <c r="PB46" s="147"/>
      <c r="PC46" s="147"/>
      <c r="PD46" s="147"/>
      <c r="PE46" s="147"/>
      <c r="PF46" s="147"/>
      <c r="PG46" s="147"/>
      <c r="PH46" s="147"/>
      <c r="PI46" s="147"/>
      <c r="PJ46" s="147"/>
      <c r="PK46" s="147"/>
      <c r="PL46" s="147"/>
      <c r="PM46" s="147"/>
      <c r="PN46" s="147"/>
      <c r="PO46" s="147"/>
      <c r="PP46" s="147"/>
      <c r="PQ46" s="147"/>
      <c r="PR46" s="147"/>
      <c r="PS46" s="147"/>
      <c r="PT46" s="147"/>
      <c r="PU46" s="147"/>
      <c r="PV46" s="147"/>
      <c r="PW46" s="147"/>
      <c r="PX46" s="147"/>
      <c r="PY46" s="147"/>
      <c r="PZ46" s="147"/>
      <c r="QA46" s="147"/>
      <c r="QB46" s="147"/>
      <c r="QC46" s="147"/>
      <c r="QD46" s="147"/>
      <c r="QE46" s="147"/>
      <c r="QF46" s="147"/>
      <c r="QG46" s="147"/>
      <c r="QH46" s="147"/>
      <c r="QI46" s="147"/>
      <c r="QJ46" s="147"/>
      <c r="QK46" s="147"/>
      <c r="QL46" s="147"/>
      <c r="QM46" s="147"/>
      <c r="QN46" s="147"/>
      <c r="QO46" s="147"/>
      <c r="QP46" s="147"/>
      <c r="QQ46" s="147"/>
      <c r="QR46" s="147"/>
      <c r="QS46" s="147"/>
      <c r="QT46" s="147"/>
      <c r="QU46" s="147"/>
      <c r="QV46" s="147"/>
      <c r="QW46" s="147"/>
      <c r="QX46" s="147"/>
      <c r="QY46" s="147"/>
      <c r="QZ46" s="147"/>
      <c r="RA46" s="147"/>
      <c r="RB46" s="147"/>
      <c r="RC46" s="147"/>
      <c r="RD46" s="147"/>
      <c r="RE46" s="147"/>
      <c r="RF46" s="147"/>
      <c r="RG46" s="147"/>
      <c r="RH46" s="147"/>
      <c r="RI46" s="147"/>
      <c r="RJ46" s="147"/>
      <c r="RK46" s="147"/>
      <c r="RL46" s="147"/>
      <c r="RM46" s="147"/>
      <c r="RN46" s="147"/>
      <c r="RO46" s="147"/>
      <c r="RP46" s="147"/>
      <c r="RQ46" s="147"/>
      <c r="RR46" s="147"/>
      <c r="RS46" s="147"/>
      <c r="RT46" s="147"/>
      <c r="RU46" s="147"/>
      <c r="RV46" s="147"/>
      <c r="RW46" s="147"/>
      <c r="RX46" s="147"/>
      <c r="RY46" s="147"/>
      <c r="RZ46" s="147"/>
      <c r="SA46" s="147"/>
      <c r="SB46" s="147"/>
      <c r="SC46" s="147"/>
      <c r="SD46" s="147"/>
      <c r="SE46" s="147"/>
      <c r="SF46" s="147"/>
      <c r="SG46" s="147"/>
      <c r="SH46" s="147"/>
      <c r="SI46" s="147"/>
      <c r="SJ46" s="147"/>
      <c r="SK46" s="147"/>
      <c r="SL46" s="147"/>
      <c r="SM46" s="147"/>
      <c r="SN46" s="147"/>
      <c r="SO46" s="147"/>
      <c r="SP46" s="147"/>
      <c r="SQ46" s="147"/>
      <c r="SR46" s="147"/>
      <c r="SS46" s="147"/>
      <c r="ST46" s="147"/>
      <c r="SU46" s="147"/>
      <c r="SV46" s="147"/>
      <c r="SW46" s="147"/>
      <c r="SX46" s="147"/>
      <c r="SY46" s="147"/>
      <c r="SZ46" s="147"/>
      <c r="TA46" s="147"/>
      <c r="TB46" s="147"/>
      <c r="TC46" s="147"/>
      <c r="TD46" s="147"/>
      <c r="TE46" s="147"/>
      <c r="TF46" s="147"/>
      <c r="TG46" s="147"/>
      <c r="TH46" s="147"/>
      <c r="TI46" s="147"/>
      <c r="TJ46" s="147"/>
      <c r="TK46" s="147"/>
      <c r="TL46" s="147"/>
      <c r="TM46" s="147"/>
      <c r="TN46" s="147"/>
      <c r="TO46" s="147"/>
      <c r="TP46" s="147"/>
      <c r="TQ46" s="147"/>
      <c r="TR46" s="147"/>
      <c r="TS46" s="147"/>
      <c r="TT46" s="147"/>
      <c r="TU46" s="147"/>
      <c r="TV46" s="147"/>
      <c r="TW46" s="147"/>
      <c r="TX46" s="147"/>
      <c r="TY46" s="147"/>
      <c r="TZ46" s="147"/>
      <c r="UA46" s="147"/>
      <c r="UB46" s="147"/>
      <c r="UC46" s="147"/>
      <c r="UD46" s="147"/>
      <c r="UE46" s="147"/>
      <c r="UF46" s="147"/>
      <c r="UG46" s="147"/>
      <c r="UH46" s="147"/>
      <c r="UI46" s="147"/>
      <c r="UJ46" s="147"/>
      <c r="UK46" s="147"/>
      <c r="UL46" s="147"/>
      <c r="UM46" s="147"/>
      <c r="UN46" s="147"/>
      <c r="UO46" s="147"/>
      <c r="UP46" s="147"/>
      <c r="UQ46" s="147"/>
      <c r="UR46" s="147"/>
      <c r="US46" s="147"/>
      <c r="UT46" s="147"/>
      <c r="UU46" s="147"/>
      <c r="UV46" s="147"/>
      <c r="UW46" s="147"/>
      <c r="UX46" s="147"/>
      <c r="UY46" s="147"/>
      <c r="UZ46" s="147"/>
      <c r="VA46" s="147"/>
      <c r="VB46" s="147"/>
      <c r="VC46" s="147"/>
      <c r="VD46" s="147"/>
      <c r="VE46" s="147"/>
      <c r="VF46" s="147"/>
      <c r="VG46" s="147"/>
      <c r="VH46" s="147"/>
      <c r="VI46" s="147"/>
      <c r="VJ46" s="147"/>
      <c r="VK46" s="147"/>
      <c r="VL46" s="147"/>
      <c r="VM46" s="147"/>
      <c r="VN46" s="147"/>
      <c r="VO46" s="147"/>
      <c r="VP46" s="147"/>
      <c r="VQ46" s="147"/>
      <c r="VR46" s="147"/>
      <c r="VS46" s="147"/>
      <c r="VT46" s="147"/>
      <c r="VU46" s="147"/>
      <c r="VV46" s="147"/>
      <c r="VW46" s="147"/>
      <c r="VX46" s="147"/>
      <c r="VY46" s="147"/>
      <c r="VZ46" s="147"/>
      <c r="WA46" s="147"/>
      <c r="WB46" s="147"/>
      <c r="WC46" s="147"/>
      <c r="WD46" s="147"/>
      <c r="WE46" s="147"/>
      <c r="WF46" s="147"/>
      <c r="WG46" s="147"/>
      <c r="WH46" s="147"/>
      <c r="WI46" s="147"/>
      <c r="WJ46" s="147"/>
      <c r="WK46" s="147"/>
      <c r="WL46" s="147"/>
      <c r="WM46" s="147"/>
      <c r="WN46" s="147"/>
      <c r="WO46" s="147"/>
      <c r="WP46" s="147"/>
      <c r="WQ46" s="147"/>
      <c r="WR46" s="147"/>
      <c r="WS46" s="147"/>
      <c r="WT46" s="147"/>
      <c r="WU46" s="147"/>
      <c r="WV46" s="147"/>
      <c r="WW46" s="147"/>
      <c r="WX46" s="147"/>
      <c r="WY46" s="147"/>
      <c r="WZ46" s="147"/>
      <c r="XA46" s="147"/>
      <c r="XB46" s="147"/>
      <c r="XC46" s="147"/>
      <c r="XD46" s="147"/>
      <c r="XE46" s="147"/>
      <c r="XF46" s="147"/>
      <c r="XG46" s="147"/>
      <c r="XH46" s="147"/>
      <c r="XI46" s="147"/>
      <c r="XJ46" s="147"/>
      <c r="XK46" s="147"/>
      <c r="XL46" s="147"/>
      <c r="XM46" s="147"/>
      <c r="XN46" s="147"/>
      <c r="XO46" s="147"/>
      <c r="XP46" s="147"/>
      <c r="XQ46" s="147"/>
      <c r="XR46" s="147"/>
      <c r="XS46" s="147"/>
      <c r="XT46" s="147"/>
      <c r="XU46" s="147"/>
      <c r="XV46" s="147"/>
      <c r="XW46" s="147"/>
      <c r="XX46" s="147"/>
      <c r="XY46" s="147"/>
      <c r="XZ46" s="147"/>
      <c r="YA46" s="147"/>
      <c r="YB46" s="147"/>
      <c r="YC46" s="147"/>
      <c r="YD46" s="147"/>
      <c r="YE46" s="147"/>
      <c r="YF46" s="147"/>
      <c r="YG46" s="147"/>
      <c r="YH46" s="147"/>
      <c r="YI46" s="147"/>
      <c r="YJ46" s="147"/>
      <c r="YK46" s="147"/>
      <c r="YL46" s="147"/>
      <c r="YM46" s="147"/>
      <c r="YN46" s="147"/>
      <c r="YO46" s="147"/>
      <c r="YP46" s="147"/>
      <c r="YQ46" s="147"/>
      <c r="YR46" s="147"/>
      <c r="YS46" s="147"/>
      <c r="YT46" s="147"/>
      <c r="YU46" s="147"/>
      <c r="YV46" s="147"/>
      <c r="YW46" s="147"/>
      <c r="YX46" s="147"/>
    </row>
    <row r="47" spans="1:674" s="238" customFormat="1" ht="23.1" customHeight="1">
      <c r="A47" s="156">
        <v>35</v>
      </c>
      <c r="B47" s="176" t="s">
        <v>545</v>
      </c>
      <c r="C47" s="156" t="s">
        <v>161</v>
      </c>
      <c r="D47" s="153"/>
      <c r="E47" s="154"/>
      <c r="F47" s="165" t="s">
        <v>546</v>
      </c>
      <c r="G47" s="156" t="s">
        <v>547</v>
      </c>
      <c r="H47" s="154"/>
      <c r="I47" s="156" t="s">
        <v>548</v>
      </c>
      <c r="J47" s="157" t="s">
        <v>430</v>
      </c>
      <c r="K47" s="158"/>
      <c r="L47" s="159" t="s">
        <v>549</v>
      </c>
      <c r="M47" s="156"/>
      <c r="N47" s="236" t="s">
        <v>550</v>
      </c>
      <c r="O47" s="237"/>
    </row>
    <row r="48" spans="1:674" s="238" customFormat="1" ht="23.1" customHeight="1">
      <c r="A48" s="156">
        <v>36</v>
      </c>
      <c r="B48" s="172" t="s">
        <v>551</v>
      </c>
      <c r="C48" s="156" t="s">
        <v>161</v>
      </c>
      <c r="D48" s="156"/>
      <c r="E48" s="154"/>
      <c r="F48" s="165" t="s">
        <v>552</v>
      </c>
      <c r="G48" s="156" t="s">
        <v>547</v>
      </c>
      <c r="H48" s="154"/>
      <c r="I48" s="156" t="s">
        <v>553</v>
      </c>
      <c r="J48" s="157" t="s">
        <v>442</v>
      </c>
      <c r="K48" s="158"/>
      <c r="L48" s="159" t="s">
        <v>554</v>
      </c>
      <c r="M48" s="156"/>
      <c r="N48" s="236"/>
      <c r="O48" s="237"/>
    </row>
    <row r="49" spans="1:674" s="238" customFormat="1" ht="23.1" customHeight="1">
      <c r="A49" s="156">
        <v>37</v>
      </c>
      <c r="B49" s="176" t="s">
        <v>555</v>
      </c>
      <c r="C49" s="156" t="s">
        <v>161</v>
      </c>
      <c r="D49" s="156"/>
      <c r="E49" s="154"/>
      <c r="F49" s="165" t="s">
        <v>552</v>
      </c>
      <c r="G49" s="156" t="s">
        <v>547</v>
      </c>
      <c r="H49" s="154"/>
      <c r="I49" s="156" t="s">
        <v>556</v>
      </c>
      <c r="J49" s="157" t="s">
        <v>442</v>
      </c>
      <c r="K49" s="158"/>
      <c r="L49" s="159" t="s">
        <v>557</v>
      </c>
      <c r="M49" s="156"/>
      <c r="N49" s="236"/>
      <c r="O49" s="237"/>
    </row>
    <row r="50" spans="1:674" s="238" customFormat="1" ht="23.1" customHeight="1">
      <c r="A50" s="156">
        <v>38</v>
      </c>
      <c r="B50" s="176" t="s">
        <v>558</v>
      </c>
      <c r="C50" s="156" t="s">
        <v>161</v>
      </c>
      <c r="D50" s="156"/>
      <c r="E50" s="154"/>
      <c r="F50" s="165" t="s">
        <v>559</v>
      </c>
      <c r="G50" s="156" t="s">
        <v>560</v>
      </c>
      <c r="H50" s="154"/>
      <c r="I50" s="156" t="s">
        <v>561</v>
      </c>
      <c r="J50" s="157" t="s">
        <v>442</v>
      </c>
      <c r="K50" s="158"/>
      <c r="L50" s="159"/>
      <c r="M50" s="156"/>
      <c r="N50" s="236"/>
      <c r="O50" s="237"/>
    </row>
    <row r="51" spans="1:674" s="238" customFormat="1" ht="23.1" customHeight="1">
      <c r="A51" s="156"/>
      <c r="B51" s="176"/>
      <c r="C51" s="156"/>
      <c r="D51" s="156"/>
      <c r="E51" s="154"/>
      <c r="F51" s="165"/>
      <c r="G51" s="156"/>
      <c r="H51" s="154"/>
      <c r="I51" s="156"/>
      <c r="J51" s="157"/>
      <c r="K51" s="158"/>
      <c r="L51" s="159"/>
      <c r="M51" s="156"/>
      <c r="N51" s="236"/>
      <c r="O51" s="237"/>
    </row>
    <row r="52" spans="1:674" s="147" customFormat="1" ht="23.1" customHeight="1">
      <c r="B52" s="176"/>
      <c r="C52" s="156"/>
      <c r="D52" s="156"/>
      <c r="E52" s="154"/>
      <c r="F52" s="165"/>
      <c r="G52" s="156"/>
      <c r="H52" s="154"/>
      <c r="I52" s="156"/>
      <c r="J52" s="157"/>
      <c r="K52" s="158"/>
      <c r="L52" s="159"/>
      <c r="M52" s="156"/>
      <c r="N52" s="236"/>
      <c r="O52" s="237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  <c r="AE52" s="238"/>
      <c r="AF52" s="238"/>
      <c r="AG52" s="238"/>
      <c r="AH52" s="238"/>
      <c r="AI52" s="238"/>
      <c r="AJ52" s="238"/>
      <c r="AK52" s="238"/>
      <c r="AL52" s="238"/>
      <c r="AM52" s="238"/>
      <c r="AN52" s="238"/>
      <c r="AO52" s="238"/>
      <c r="AP52" s="238"/>
      <c r="AQ52" s="238"/>
      <c r="AR52" s="238"/>
      <c r="AS52" s="238"/>
      <c r="AT52" s="238"/>
      <c r="AU52" s="238"/>
      <c r="AV52" s="238"/>
      <c r="AW52" s="238"/>
      <c r="AX52" s="238"/>
      <c r="AY52" s="238"/>
      <c r="AZ52" s="238"/>
      <c r="BA52" s="238"/>
      <c r="BB52" s="238"/>
      <c r="BC52" s="238"/>
      <c r="BD52" s="238"/>
      <c r="BE52" s="238"/>
      <c r="BF52" s="238"/>
      <c r="BG52" s="238"/>
      <c r="BH52" s="238"/>
      <c r="BI52" s="238"/>
      <c r="BJ52" s="238"/>
      <c r="BK52" s="238"/>
      <c r="BL52" s="238"/>
      <c r="BM52" s="238"/>
      <c r="BN52" s="238"/>
      <c r="BO52" s="238"/>
      <c r="BP52" s="238"/>
      <c r="BQ52" s="238"/>
      <c r="BR52" s="238"/>
      <c r="BS52" s="238"/>
      <c r="BT52" s="238"/>
      <c r="BU52" s="238"/>
      <c r="BV52" s="238"/>
      <c r="BW52" s="238"/>
      <c r="BX52" s="238"/>
      <c r="BY52" s="238"/>
      <c r="BZ52" s="238"/>
      <c r="CA52" s="238"/>
      <c r="CB52" s="238"/>
      <c r="CC52" s="238"/>
      <c r="CD52" s="238"/>
      <c r="CE52" s="238"/>
      <c r="CF52" s="238"/>
      <c r="CG52" s="238"/>
      <c r="CH52" s="238"/>
      <c r="CI52" s="238"/>
      <c r="CJ52" s="238"/>
      <c r="CK52" s="238"/>
      <c r="CL52" s="238"/>
      <c r="CM52" s="238"/>
      <c r="CN52" s="238"/>
      <c r="CO52" s="238"/>
      <c r="CP52" s="238"/>
      <c r="CQ52" s="238"/>
      <c r="CR52" s="238"/>
      <c r="CS52" s="238"/>
      <c r="CT52" s="238"/>
      <c r="CU52" s="238"/>
      <c r="CV52" s="238"/>
      <c r="CW52" s="238"/>
      <c r="CX52" s="238"/>
      <c r="CY52" s="238"/>
      <c r="CZ52" s="238"/>
      <c r="DA52" s="238"/>
      <c r="DB52" s="238"/>
      <c r="DC52" s="238"/>
      <c r="DD52" s="238"/>
      <c r="DE52" s="238"/>
      <c r="DF52" s="238"/>
      <c r="DG52" s="238"/>
      <c r="DH52" s="238"/>
      <c r="DI52" s="238"/>
      <c r="DJ52" s="238"/>
      <c r="DK52" s="238"/>
      <c r="DL52" s="238"/>
      <c r="DM52" s="238"/>
      <c r="DN52" s="238"/>
      <c r="DO52" s="238"/>
      <c r="DP52" s="238"/>
      <c r="DQ52" s="238"/>
      <c r="DR52" s="238"/>
      <c r="DS52" s="238"/>
      <c r="DT52" s="238"/>
      <c r="DU52" s="238"/>
      <c r="DV52" s="238"/>
      <c r="DW52" s="238"/>
      <c r="DX52" s="238"/>
      <c r="DY52" s="238"/>
      <c r="DZ52" s="238"/>
      <c r="EA52" s="238"/>
      <c r="EB52" s="238"/>
      <c r="EC52" s="238"/>
      <c r="ED52" s="238"/>
      <c r="EE52" s="238"/>
      <c r="EF52" s="238"/>
      <c r="EG52" s="238"/>
      <c r="EH52" s="238"/>
      <c r="EI52" s="238"/>
      <c r="EJ52" s="238"/>
      <c r="EK52" s="238"/>
      <c r="EL52" s="238"/>
      <c r="EM52" s="238"/>
      <c r="EN52" s="238"/>
      <c r="EO52" s="238"/>
      <c r="EP52" s="238"/>
      <c r="EQ52" s="238"/>
      <c r="ER52" s="238"/>
      <c r="ES52" s="238"/>
      <c r="ET52" s="238"/>
      <c r="EU52" s="238"/>
      <c r="EV52" s="238"/>
      <c r="EW52" s="238"/>
      <c r="EX52" s="238"/>
      <c r="EY52" s="238"/>
      <c r="EZ52" s="238"/>
      <c r="FA52" s="238"/>
      <c r="FB52" s="238"/>
      <c r="FC52" s="238"/>
      <c r="FD52" s="238"/>
      <c r="FE52" s="238"/>
      <c r="FF52" s="238"/>
      <c r="FG52" s="238"/>
      <c r="FH52" s="238"/>
      <c r="FI52" s="238"/>
      <c r="FJ52" s="238"/>
      <c r="FK52" s="238"/>
      <c r="FL52" s="238"/>
      <c r="FM52" s="238"/>
      <c r="FN52" s="238"/>
      <c r="FO52" s="238"/>
      <c r="FP52" s="238"/>
      <c r="FQ52" s="238"/>
      <c r="FR52" s="238"/>
      <c r="FS52" s="238"/>
      <c r="FT52" s="238"/>
      <c r="FU52" s="238"/>
      <c r="FV52" s="238"/>
      <c r="FW52" s="238"/>
      <c r="FX52" s="238"/>
      <c r="FY52" s="238"/>
      <c r="FZ52" s="238"/>
      <c r="GA52" s="238"/>
      <c r="GB52" s="238"/>
      <c r="GC52" s="238"/>
      <c r="GD52" s="238"/>
      <c r="GE52" s="238"/>
      <c r="GF52" s="238"/>
      <c r="GG52" s="238"/>
      <c r="GH52" s="238"/>
      <c r="GI52" s="238"/>
      <c r="GJ52" s="238"/>
      <c r="GK52" s="238"/>
      <c r="GL52" s="238"/>
      <c r="GM52" s="238"/>
      <c r="GN52" s="238"/>
      <c r="GO52" s="238"/>
      <c r="GP52" s="238"/>
      <c r="GQ52" s="238"/>
      <c r="GR52" s="238"/>
      <c r="GS52" s="238"/>
      <c r="GT52" s="238"/>
      <c r="GU52" s="238"/>
      <c r="GV52" s="238"/>
      <c r="GW52" s="238"/>
      <c r="GX52" s="238"/>
      <c r="GY52" s="238"/>
      <c r="GZ52" s="238"/>
      <c r="HA52" s="238"/>
      <c r="HB52" s="238"/>
      <c r="HC52" s="238"/>
      <c r="HD52" s="238"/>
      <c r="HE52" s="238"/>
      <c r="HF52" s="238"/>
      <c r="HG52" s="238"/>
      <c r="HH52" s="238"/>
      <c r="HI52" s="238"/>
      <c r="HJ52" s="238"/>
      <c r="HK52" s="238"/>
      <c r="HL52" s="238"/>
      <c r="HM52" s="238"/>
      <c r="HN52" s="238"/>
      <c r="HO52" s="238"/>
      <c r="HP52" s="238"/>
      <c r="HQ52" s="238"/>
      <c r="HR52" s="238"/>
      <c r="HS52" s="238"/>
      <c r="HT52" s="238"/>
      <c r="HU52" s="238"/>
      <c r="HV52" s="238"/>
      <c r="HW52" s="238"/>
      <c r="HX52" s="238"/>
      <c r="HY52" s="238"/>
      <c r="HZ52" s="238"/>
      <c r="IA52" s="238"/>
      <c r="IB52" s="238"/>
      <c r="IC52" s="238"/>
      <c r="ID52" s="238"/>
      <c r="IE52" s="238"/>
      <c r="IF52" s="238"/>
      <c r="IG52" s="238"/>
      <c r="IH52" s="238"/>
      <c r="II52" s="238"/>
      <c r="IJ52" s="238"/>
      <c r="IK52" s="238"/>
      <c r="IL52" s="238"/>
      <c r="IM52" s="238"/>
      <c r="IN52" s="238"/>
      <c r="IO52" s="238"/>
      <c r="IP52" s="238"/>
      <c r="IQ52" s="238"/>
      <c r="IR52" s="238"/>
      <c r="IS52" s="238"/>
      <c r="IT52" s="238"/>
      <c r="IU52" s="238"/>
      <c r="IV52" s="238"/>
      <c r="IW52" s="238"/>
      <c r="IX52" s="238"/>
      <c r="IY52" s="238"/>
      <c r="IZ52" s="238"/>
      <c r="JA52" s="238"/>
      <c r="JB52" s="238"/>
      <c r="JC52" s="238"/>
      <c r="JD52" s="238"/>
      <c r="JE52" s="238"/>
      <c r="JF52" s="238"/>
      <c r="JG52" s="238"/>
      <c r="JH52" s="238"/>
      <c r="JI52" s="238"/>
      <c r="JJ52" s="238"/>
      <c r="JK52" s="238"/>
      <c r="JL52" s="238"/>
      <c r="JM52" s="238"/>
      <c r="JN52" s="238"/>
      <c r="JO52" s="238"/>
      <c r="JP52" s="238"/>
      <c r="JQ52" s="238"/>
      <c r="JR52" s="238"/>
      <c r="JS52" s="238"/>
      <c r="JT52" s="238"/>
      <c r="JU52" s="238"/>
      <c r="JV52" s="238"/>
      <c r="JW52" s="238"/>
      <c r="JX52" s="238"/>
      <c r="JY52" s="238"/>
      <c r="JZ52" s="238"/>
      <c r="KA52" s="238"/>
      <c r="KB52" s="238"/>
      <c r="KC52" s="238"/>
      <c r="KD52" s="238"/>
      <c r="KE52" s="238"/>
      <c r="KF52" s="238"/>
      <c r="KG52" s="238"/>
      <c r="KH52" s="238"/>
      <c r="KI52" s="238"/>
      <c r="KJ52" s="238"/>
      <c r="KK52" s="238"/>
      <c r="KL52" s="238"/>
      <c r="KM52" s="238"/>
      <c r="KN52" s="238"/>
      <c r="KO52" s="238"/>
      <c r="KP52" s="238"/>
      <c r="KQ52" s="238"/>
      <c r="KR52" s="238"/>
      <c r="KS52" s="238"/>
      <c r="KT52" s="238"/>
      <c r="KU52" s="238"/>
      <c r="KV52" s="238"/>
      <c r="KW52" s="238"/>
      <c r="KX52" s="238"/>
      <c r="KY52" s="238"/>
      <c r="KZ52" s="238"/>
      <c r="LA52" s="238"/>
      <c r="LB52" s="238"/>
      <c r="LC52" s="238"/>
      <c r="LD52" s="238"/>
      <c r="LE52" s="238"/>
      <c r="LF52" s="238"/>
      <c r="LG52" s="238"/>
      <c r="LH52" s="238"/>
      <c r="LI52" s="238"/>
      <c r="LJ52" s="238"/>
      <c r="LK52" s="238"/>
      <c r="LL52" s="238"/>
      <c r="LM52" s="238"/>
      <c r="LN52" s="238"/>
      <c r="LO52" s="238"/>
      <c r="LP52" s="238"/>
      <c r="LQ52" s="238"/>
      <c r="LR52" s="238"/>
      <c r="LS52" s="238"/>
      <c r="LT52" s="238"/>
      <c r="LU52" s="238"/>
      <c r="LV52" s="238"/>
      <c r="LW52" s="238"/>
      <c r="LX52" s="238"/>
      <c r="LY52" s="238"/>
      <c r="LZ52" s="238"/>
      <c r="MA52" s="238"/>
      <c r="MB52" s="238"/>
      <c r="MC52" s="238"/>
      <c r="MD52" s="238"/>
      <c r="ME52" s="238"/>
      <c r="MF52" s="238"/>
      <c r="MG52" s="238"/>
      <c r="MH52" s="238"/>
      <c r="MI52" s="238"/>
      <c r="MJ52" s="238"/>
      <c r="MK52" s="238"/>
      <c r="ML52" s="238"/>
      <c r="MM52" s="238"/>
      <c r="MN52" s="238"/>
      <c r="MO52" s="238"/>
      <c r="MP52" s="238"/>
      <c r="MQ52" s="238"/>
      <c r="MR52" s="238"/>
      <c r="MS52" s="238"/>
      <c r="MT52" s="238"/>
      <c r="MU52" s="238"/>
      <c r="MV52" s="238"/>
      <c r="MW52" s="238"/>
      <c r="MX52" s="238"/>
      <c r="MY52" s="238"/>
      <c r="MZ52" s="238"/>
      <c r="NA52" s="238"/>
      <c r="NB52" s="238"/>
      <c r="NC52" s="238"/>
      <c r="ND52" s="238"/>
      <c r="NE52" s="238"/>
      <c r="NF52" s="238"/>
      <c r="NG52" s="238"/>
      <c r="NH52" s="238"/>
      <c r="NI52" s="238"/>
      <c r="NJ52" s="238"/>
      <c r="NK52" s="238"/>
      <c r="NL52" s="238"/>
      <c r="NM52" s="238"/>
      <c r="NN52" s="238"/>
      <c r="NO52" s="238"/>
      <c r="NP52" s="238"/>
      <c r="NQ52" s="238"/>
      <c r="NR52" s="238"/>
      <c r="NS52" s="238"/>
      <c r="NT52" s="238"/>
      <c r="NU52" s="238"/>
      <c r="NV52" s="238"/>
      <c r="NW52" s="238"/>
      <c r="NX52" s="238"/>
      <c r="NY52" s="238"/>
      <c r="NZ52" s="238"/>
      <c r="OA52" s="238"/>
      <c r="OB52" s="238"/>
      <c r="OC52" s="238"/>
      <c r="OD52" s="238"/>
      <c r="OE52" s="238"/>
      <c r="OF52" s="238"/>
      <c r="OG52" s="238"/>
      <c r="OH52" s="238"/>
      <c r="OI52" s="238"/>
      <c r="OJ52" s="238"/>
      <c r="OK52" s="238"/>
      <c r="OL52" s="238"/>
      <c r="OM52" s="238"/>
      <c r="ON52" s="238"/>
      <c r="OO52" s="238"/>
      <c r="OP52" s="238"/>
      <c r="OQ52" s="238"/>
      <c r="OR52" s="238"/>
      <c r="OS52" s="238"/>
      <c r="OT52" s="238"/>
      <c r="OU52" s="238"/>
      <c r="OV52" s="238"/>
      <c r="OW52" s="238"/>
      <c r="OX52" s="238"/>
      <c r="OY52" s="238"/>
      <c r="OZ52" s="238"/>
      <c r="PA52" s="238"/>
      <c r="PB52" s="238"/>
      <c r="PC52" s="238"/>
      <c r="PD52" s="238"/>
      <c r="PE52" s="238"/>
      <c r="PF52" s="238"/>
      <c r="PG52" s="238"/>
      <c r="PH52" s="238"/>
      <c r="PI52" s="238"/>
      <c r="PJ52" s="238"/>
      <c r="PK52" s="238"/>
      <c r="PL52" s="238"/>
      <c r="PM52" s="238"/>
      <c r="PN52" s="238"/>
      <c r="PO52" s="238"/>
      <c r="PP52" s="238"/>
      <c r="PQ52" s="238"/>
      <c r="PR52" s="238"/>
      <c r="PS52" s="238"/>
      <c r="PT52" s="238"/>
      <c r="PU52" s="238"/>
      <c r="PV52" s="238"/>
      <c r="PW52" s="238"/>
      <c r="PX52" s="238"/>
      <c r="PY52" s="238"/>
      <c r="PZ52" s="238"/>
      <c r="QA52" s="238"/>
      <c r="QB52" s="238"/>
      <c r="QC52" s="238"/>
      <c r="QD52" s="238"/>
      <c r="QE52" s="238"/>
      <c r="QF52" s="238"/>
      <c r="QG52" s="238"/>
      <c r="QH52" s="238"/>
      <c r="QI52" s="238"/>
      <c r="QJ52" s="238"/>
      <c r="QK52" s="238"/>
      <c r="QL52" s="238"/>
      <c r="QM52" s="238"/>
      <c r="QN52" s="238"/>
      <c r="QO52" s="238"/>
      <c r="QP52" s="238"/>
      <c r="QQ52" s="238"/>
      <c r="QR52" s="238"/>
      <c r="QS52" s="238"/>
      <c r="QT52" s="238"/>
      <c r="QU52" s="238"/>
      <c r="QV52" s="238"/>
      <c r="QW52" s="238"/>
      <c r="QX52" s="238"/>
      <c r="QY52" s="238"/>
      <c r="QZ52" s="238"/>
      <c r="RA52" s="238"/>
      <c r="RB52" s="238"/>
      <c r="RC52" s="238"/>
      <c r="RD52" s="238"/>
      <c r="RE52" s="238"/>
      <c r="RF52" s="238"/>
      <c r="RG52" s="238"/>
      <c r="RH52" s="238"/>
      <c r="RI52" s="238"/>
      <c r="RJ52" s="238"/>
      <c r="RK52" s="238"/>
      <c r="RL52" s="238"/>
      <c r="RM52" s="238"/>
      <c r="RN52" s="238"/>
      <c r="RO52" s="238"/>
      <c r="RP52" s="238"/>
      <c r="RQ52" s="238"/>
      <c r="RR52" s="238"/>
      <c r="RS52" s="238"/>
      <c r="RT52" s="238"/>
      <c r="RU52" s="238"/>
      <c r="RV52" s="238"/>
      <c r="RW52" s="238"/>
      <c r="RX52" s="238"/>
      <c r="RY52" s="238"/>
      <c r="RZ52" s="238"/>
      <c r="SA52" s="238"/>
      <c r="SB52" s="238"/>
      <c r="SC52" s="238"/>
      <c r="SD52" s="238"/>
      <c r="SE52" s="238"/>
      <c r="SF52" s="238"/>
      <c r="SG52" s="238"/>
      <c r="SH52" s="238"/>
      <c r="SI52" s="238"/>
      <c r="SJ52" s="238"/>
      <c r="SK52" s="238"/>
      <c r="SL52" s="238"/>
      <c r="SM52" s="238"/>
      <c r="SN52" s="238"/>
      <c r="SO52" s="238"/>
      <c r="SP52" s="238"/>
      <c r="SQ52" s="238"/>
      <c r="SR52" s="238"/>
      <c r="SS52" s="238"/>
      <c r="ST52" s="238"/>
      <c r="SU52" s="238"/>
      <c r="SV52" s="238"/>
      <c r="SW52" s="238"/>
      <c r="SX52" s="238"/>
      <c r="SY52" s="238"/>
      <c r="SZ52" s="238"/>
      <c r="TA52" s="238"/>
      <c r="TB52" s="238"/>
      <c r="TC52" s="238"/>
      <c r="TD52" s="238"/>
      <c r="TE52" s="238"/>
      <c r="TF52" s="238"/>
      <c r="TG52" s="238"/>
      <c r="TH52" s="238"/>
      <c r="TI52" s="238"/>
      <c r="TJ52" s="238"/>
      <c r="TK52" s="238"/>
      <c r="TL52" s="238"/>
      <c r="TM52" s="238"/>
      <c r="TN52" s="238"/>
      <c r="TO52" s="238"/>
      <c r="TP52" s="238"/>
      <c r="TQ52" s="238"/>
      <c r="TR52" s="238"/>
      <c r="TS52" s="238"/>
      <c r="TT52" s="238"/>
      <c r="TU52" s="238"/>
      <c r="TV52" s="238"/>
      <c r="TW52" s="238"/>
      <c r="TX52" s="238"/>
      <c r="TY52" s="238"/>
      <c r="TZ52" s="238"/>
      <c r="UA52" s="238"/>
      <c r="UB52" s="238"/>
      <c r="UC52" s="238"/>
      <c r="UD52" s="238"/>
      <c r="UE52" s="238"/>
      <c r="UF52" s="238"/>
      <c r="UG52" s="238"/>
      <c r="UH52" s="238"/>
      <c r="UI52" s="238"/>
      <c r="UJ52" s="238"/>
      <c r="UK52" s="238"/>
      <c r="UL52" s="238"/>
      <c r="UM52" s="238"/>
      <c r="UN52" s="238"/>
      <c r="UO52" s="238"/>
      <c r="UP52" s="238"/>
      <c r="UQ52" s="238"/>
      <c r="UR52" s="238"/>
      <c r="US52" s="238"/>
      <c r="UT52" s="238"/>
      <c r="UU52" s="238"/>
      <c r="UV52" s="238"/>
      <c r="UW52" s="238"/>
      <c r="UX52" s="238"/>
      <c r="UY52" s="238"/>
      <c r="UZ52" s="238"/>
      <c r="VA52" s="238"/>
      <c r="VB52" s="238"/>
      <c r="VC52" s="238"/>
      <c r="VD52" s="238"/>
      <c r="VE52" s="238"/>
      <c r="VF52" s="238"/>
      <c r="VG52" s="238"/>
      <c r="VH52" s="238"/>
      <c r="VI52" s="238"/>
      <c r="VJ52" s="238"/>
      <c r="VK52" s="238"/>
      <c r="VL52" s="238"/>
      <c r="VM52" s="238"/>
      <c r="VN52" s="238"/>
      <c r="VO52" s="238"/>
      <c r="VP52" s="238"/>
      <c r="VQ52" s="238"/>
      <c r="VR52" s="238"/>
      <c r="VS52" s="238"/>
      <c r="VT52" s="238"/>
      <c r="VU52" s="238"/>
      <c r="VV52" s="238"/>
      <c r="VW52" s="238"/>
      <c r="VX52" s="238"/>
      <c r="VY52" s="238"/>
      <c r="VZ52" s="238"/>
      <c r="WA52" s="238"/>
      <c r="WB52" s="238"/>
      <c r="WC52" s="238"/>
      <c r="WD52" s="238"/>
      <c r="WE52" s="238"/>
      <c r="WF52" s="238"/>
      <c r="WG52" s="238"/>
      <c r="WH52" s="238"/>
      <c r="WI52" s="238"/>
      <c r="WJ52" s="238"/>
      <c r="WK52" s="238"/>
      <c r="WL52" s="238"/>
      <c r="WM52" s="238"/>
      <c r="WN52" s="238"/>
      <c r="WO52" s="238"/>
      <c r="WP52" s="238"/>
      <c r="WQ52" s="238"/>
      <c r="WR52" s="238"/>
      <c r="WS52" s="238"/>
      <c r="WT52" s="238"/>
      <c r="WU52" s="238"/>
      <c r="WV52" s="238"/>
      <c r="WW52" s="238"/>
      <c r="WX52" s="238"/>
      <c r="WY52" s="238"/>
      <c r="WZ52" s="238"/>
      <c r="XA52" s="238"/>
      <c r="XB52" s="238"/>
      <c r="XC52" s="238"/>
      <c r="XD52" s="238"/>
      <c r="XE52" s="238"/>
      <c r="XF52" s="238"/>
      <c r="XG52" s="238"/>
      <c r="XH52" s="238"/>
      <c r="XI52" s="238"/>
      <c r="XJ52" s="238"/>
      <c r="XK52" s="238"/>
      <c r="XL52" s="238"/>
      <c r="XM52" s="238"/>
      <c r="XN52" s="238"/>
      <c r="XO52" s="238"/>
      <c r="XP52" s="238"/>
      <c r="XQ52" s="238"/>
      <c r="XR52" s="238"/>
      <c r="XS52" s="238"/>
      <c r="XT52" s="238"/>
      <c r="XU52" s="238"/>
      <c r="XV52" s="238"/>
      <c r="XW52" s="238"/>
      <c r="XX52" s="238"/>
      <c r="XY52" s="238"/>
      <c r="XZ52" s="238"/>
      <c r="YA52" s="238"/>
      <c r="YB52" s="238"/>
      <c r="YC52" s="238"/>
      <c r="YD52" s="238"/>
      <c r="YE52" s="238"/>
      <c r="YF52" s="238"/>
      <c r="YG52" s="238"/>
      <c r="YH52" s="238"/>
      <c r="YI52" s="238"/>
      <c r="YJ52" s="238"/>
      <c r="YK52" s="238"/>
      <c r="YL52" s="238"/>
      <c r="YM52" s="238"/>
      <c r="YN52" s="238"/>
      <c r="YO52" s="238"/>
      <c r="YP52" s="238"/>
      <c r="YQ52" s="238"/>
      <c r="YR52" s="238"/>
      <c r="YS52" s="238"/>
      <c r="YT52" s="238"/>
      <c r="YU52" s="238"/>
      <c r="YV52" s="238"/>
      <c r="YW52" s="238"/>
      <c r="YX52" s="238"/>
    </row>
    <row r="53" spans="1:674" s="238" customFormat="1" ht="23.1" customHeight="1">
      <c r="A53" s="156"/>
      <c r="B53" s="176"/>
      <c r="C53" s="156"/>
      <c r="D53" s="156"/>
      <c r="E53" s="154"/>
      <c r="F53" s="165"/>
      <c r="G53" s="156"/>
      <c r="H53" s="154"/>
      <c r="I53" s="156"/>
      <c r="J53" s="157"/>
      <c r="K53" s="158"/>
      <c r="L53" s="159"/>
      <c r="M53" s="156"/>
      <c r="N53" s="236"/>
      <c r="O53" s="237"/>
    </row>
    <row r="54" spans="1:674" s="238" customFormat="1" ht="23.1" customHeight="1">
      <c r="A54" s="156"/>
      <c r="B54" s="148" t="s">
        <v>562</v>
      </c>
      <c r="C54" s="156"/>
      <c r="D54" s="156"/>
      <c r="E54" s="154"/>
      <c r="F54" s="165"/>
      <c r="G54" s="156"/>
      <c r="H54" s="154"/>
      <c r="I54" s="156"/>
      <c r="J54" s="157"/>
      <c r="K54" s="158"/>
      <c r="L54" s="159"/>
      <c r="M54" s="156"/>
      <c r="N54" s="236"/>
      <c r="O54" s="237"/>
    </row>
    <row r="55" spans="1:674" s="238" customFormat="1" ht="23.1" customHeight="1">
      <c r="A55" s="156">
        <v>39</v>
      </c>
      <c r="B55" s="176" t="s">
        <v>563</v>
      </c>
      <c r="C55" s="156"/>
      <c r="D55" s="156"/>
      <c r="E55" s="154"/>
      <c r="F55" s="165"/>
      <c r="G55" s="156"/>
      <c r="H55" s="154"/>
      <c r="I55" s="156" t="s">
        <v>232</v>
      </c>
      <c r="J55" s="157" t="s">
        <v>442</v>
      </c>
      <c r="K55" s="158"/>
      <c r="L55" s="159"/>
      <c r="M55" s="156"/>
      <c r="N55" s="236"/>
      <c r="O55" s="237"/>
    </row>
    <row r="56" spans="1:674" s="238" customFormat="1" ht="23.1" customHeight="1">
      <c r="A56" s="156">
        <v>40</v>
      </c>
      <c r="B56" s="176" t="s">
        <v>564</v>
      </c>
      <c r="C56" s="156"/>
      <c r="D56" s="156"/>
      <c r="E56" s="154"/>
      <c r="F56" s="165"/>
      <c r="G56" s="156"/>
      <c r="H56" s="154"/>
      <c r="I56" s="156"/>
      <c r="J56" s="157"/>
      <c r="K56" s="158"/>
      <c r="L56" s="159"/>
      <c r="M56" s="156"/>
      <c r="N56" s="236"/>
      <c r="O56" s="237"/>
    </row>
    <row r="57" spans="1:674" s="238" customFormat="1" ht="23.1" customHeight="1">
      <c r="A57" s="156">
        <v>41</v>
      </c>
      <c r="B57" s="164" t="s">
        <v>565</v>
      </c>
      <c r="C57" s="156" t="s">
        <v>467</v>
      </c>
      <c r="D57" s="165"/>
      <c r="E57" s="239"/>
      <c r="F57" s="165"/>
      <c r="G57" s="165" t="s">
        <v>566</v>
      </c>
      <c r="H57" s="239"/>
      <c r="I57" s="166" t="s">
        <v>567</v>
      </c>
      <c r="J57" s="157" t="s">
        <v>8</v>
      </c>
      <c r="K57" s="166"/>
      <c r="L57" s="159" t="s">
        <v>568</v>
      </c>
      <c r="M57" s="167"/>
      <c r="N57" s="167"/>
      <c r="O57" s="168"/>
      <c r="P57" s="167"/>
    </row>
    <row r="58" spans="1:674" s="238" customFormat="1" ht="23.1" customHeight="1">
      <c r="A58" s="156">
        <v>42</v>
      </c>
      <c r="B58" s="176" t="s">
        <v>569</v>
      </c>
      <c r="C58" s="156" t="s">
        <v>467</v>
      </c>
      <c r="D58" s="156"/>
      <c r="E58" s="153"/>
      <c r="F58" s="165"/>
      <c r="H58" s="153"/>
      <c r="I58" s="156" t="s">
        <v>570</v>
      </c>
      <c r="J58" s="157" t="s">
        <v>442</v>
      </c>
      <c r="K58" s="172"/>
      <c r="L58" s="159" t="s">
        <v>571</v>
      </c>
      <c r="M58" s="156"/>
      <c r="N58" s="236"/>
      <c r="O58" s="237"/>
    </row>
    <row r="59" spans="1:674" s="238" customFormat="1" ht="23.1" customHeight="1">
      <c r="A59" s="156">
        <v>43</v>
      </c>
      <c r="B59" s="176" t="s">
        <v>572</v>
      </c>
      <c r="C59" s="156" t="s">
        <v>467</v>
      </c>
      <c r="D59" s="156"/>
      <c r="E59" s="153"/>
      <c r="F59" s="165"/>
      <c r="H59" s="153"/>
      <c r="I59" s="156" t="s">
        <v>573</v>
      </c>
      <c r="J59" s="157" t="s">
        <v>442</v>
      </c>
      <c r="K59" s="172"/>
      <c r="L59" s="159" t="s">
        <v>574</v>
      </c>
      <c r="M59" s="156"/>
      <c r="N59" s="236"/>
      <c r="O59" s="237"/>
    </row>
    <row r="60" spans="1:674" s="147" customFormat="1" ht="23.1" customHeight="1">
      <c r="A60" s="147">
        <v>44</v>
      </c>
      <c r="B60" s="164" t="s">
        <v>575</v>
      </c>
      <c r="C60" s="156" t="s">
        <v>467</v>
      </c>
      <c r="D60" s="165"/>
      <c r="E60" s="165"/>
      <c r="F60" s="165"/>
      <c r="G60" s="165" t="s">
        <v>576</v>
      </c>
      <c r="H60" s="165"/>
      <c r="I60" s="166" t="s">
        <v>577</v>
      </c>
      <c r="J60" s="157" t="s">
        <v>8</v>
      </c>
      <c r="K60" s="166"/>
      <c r="L60" s="159" t="s">
        <v>578</v>
      </c>
      <c r="M60" s="167"/>
      <c r="N60" s="167"/>
      <c r="O60" s="168"/>
      <c r="P60" s="167"/>
      <c r="Q60" s="238"/>
      <c r="R60" s="238"/>
      <c r="S60" s="238"/>
      <c r="T60" s="238"/>
      <c r="U60" s="238"/>
      <c r="V60" s="238"/>
      <c r="W60" s="238"/>
      <c r="X60" s="238"/>
      <c r="Y60" s="238"/>
      <c r="Z60" s="238"/>
      <c r="AA60" s="238"/>
      <c r="AB60" s="238"/>
      <c r="AC60" s="238"/>
      <c r="AD60" s="238"/>
      <c r="AE60" s="238"/>
      <c r="AF60" s="238"/>
      <c r="AG60" s="238"/>
      <c r="AH60" s="238"/>
      <c r="AI60" s="238"/>
      <c r="AJ60" s="238"/>
      <c r="AK60" s="238"/>
      <c r="AL60" s="238"/>
      <c r="AM60" s="238"/>
      <c r="AN60" s="238"/>
      <c r="AO60" s="238"/>
      <c r="AP60" s="238"/>
      <c r="AQ60" s="238"/>
      <c r="AR60" s="238"/>
      <c r="AS60" s="238"/>
      <c r="AT60" s="238"/>
      <c r="AU60" s="238"/>
      <c r="AV60" s="238"/>
      <c r="AW60" s="238"/>
      <c r="AX60" s="238"/>
      <c r="AY60" s="238"/>
      <c r="AZ60" s="238"/>
      <c r="BA60" s="238"/>
      <c r="BB60" s="238"/>
      <c r="BC60" s="238"/>
      <c r="BD60" s="238"/>
      <c r="BE60" s="238"/>
      <c r="BF60" s="238"/>
      <c r="BG60" s="238"/>
      <c r="BH60" s="238"/>
      <c r="BI60" s="238"/>
      <c r="BJ60" s="238"/>
      <c r="BK60" s="238"/>
      <c r="BL60" s="238"/>
      <c r="BM60" s="238"/>
      <c r="BN60" s="238"/>
      <c r="BO60" s="238"/>
      <c r="BP60" s="238"/>
      <c r="BQ60" s="238"/>
      <c r="BR60" s="238"/>
      <c r="BS60" s="238"/>
      <c r="BT60" s="238"/>
      <c r="BU60" s="238"/>
      <c r="BV60" s="238"/>
      <c r="BW60" s="238"/>
      <c r="BX60" s="238"/>
      <c r="BY60" s="238"/>
      <c r="BZ60" s="238"/>
      <c r="CA60" s="238"/>
      <c r="CB60" s="238"/>
      <c r="CC60" s="238"/>
      <c r="CD60" s="238"/>
      <c r="CE60" s="238"/>
      <c r="CF60" s="238"/>
      <c r="CG60" s="238"/>
      <c r="CH60" s="238"/>
      <c r="CI60" s="238"/>
      <c r="CJ60" s="238"/>
      <c r="CK60" s="238"/>
      <c r="CL60" s="238"/>
      <c r="CM60" s="238"/>
      <c r="CN60" s="238"/>
      <c r="CO60" s="238"/>
      <c r="CP60" s="238"/>
      <c r="CQ60" s="238"/>
      <c r="CR60" s="238"/>
      <c r="CS60" s="238"/>
      <c r="CT60" s="238"/>
      <c r="CU60" s="238"/>
      <c r="CV60" s="238"/>
      <c r="CW60" s="238"/>
      <c r="CX60" s="238"/>
      <c r="CY60" s="238"/>
      <c r="CZ60" s="238"/>
      <c r="DA60" s="238"/>
      <c r="DB60" s="238"/>
      <c r="DC60" s="238"/>
      <c r="DD60" s="238"/>
      <c r="DE60" s="238"/>
      <c r="DF60" s="238"/>
      <c r="DG60" s="238"/>
      <c r="DH60" s="238"/>
      <c r="DI60" s="238"/>
      <c r="DJ60" s="238"/>
      <c r="DK60" s="238"/>
      <c r="DL60" s="238"/>
      <c r="DM60" s="238"/>
      <c r="DN60" s="238"/>
      <c r="DO60" s="238"/>
      <c r="DP60" s="238"/>
      <c r="DQ60" s="238"/>
      <c r="DR60" s="238"/>
      <c r="DS60" s="238"/>
      <c r="DT60" s="238"/>
      <c r="DU60" s="238"/>
      <c r="DV60" s="238"/>
      <c r="DW60" s="238"/>
      <c r="DX60" s="238"/>
      <c r="DY60" s="238"/>
      <c r="DZ60" s="238"/>
      <c r="EA60" s="238"/>
      <c r="EB60" s="238"/>
      <c r="EC60" s="238"/>
      <c r="ED60" s="238"/>
      <c r="EE60" s="238"/>
      <c r="EF60" s="238"/>
      <c r="EG60" s="238"/>
      <c r="EH60" s="238"/>
      <c r="EI60" s="238"/>
      <c r="EJ60" s="238"/>
      <c r="EK60" s="238"/>
      <c r="EL60" s="238"/>
      <c r="EM60" s="238"/>
      <c r="EN60" s="238"/>
      <c r="EO60" s="238"/>
      <c r="EP60" s="238"/>
      <c r="EQ60" s="238"/>
      <c r="ER60" s="238"/>
      <c r="ES60" s="238"/>
      <c r="ET60" s="238"/>
      <c r="EU60" s="238"/>
      <c r="EV60" s="238"/>
      <c r="EW60" s="238"/>
      <c r="EX60" s="238"/>
      <c r="EY60" s="238"/>
      <c r="EZ60" s="238"/>
      <c r="FA60" s="238"/>
      <c r="FB60" s="238"/>
      <c r="FC60" s="238"/>
      <c r="FD60" s="238"/>
      <c r="FE60" s="238"/>
      <c r="FF60" s="238"/>
      <c r="FG60" s="238"/>
      <c r="FH60" s="238"/>
      <c r="FI60" s="238"/>
      <c r="FJ60" s="238"/>
      <c r="FK60" s="238"/>
      <c r="FL60" s="238"/>
      <c r="FM60" s="238"/>
      <c r="FN60" s="238"/>
      <c r="FO60" s="238"/>
      <c r="FP60" s="238"/>
      <c r="FQ60" s="238"/>
      <c r="FR60" s="238"/>
      <c r="FS60" s="238"/>
      <c r="FT60" s="238"/>
      <c r="FU60" s="238"/>
      <c r="FV60" s="238"/>
      <c r="FW60" s="238"/>
      <c r="FX60" s="238"/>
      <c r="FY60" s="238"/>
      <c r="FZ60" s="238"/>
      <c r="GA60" s="238"/>
      <c r="GB60" s="238"/>
      <c r="GC60" s="238"/>
      <c r="GD60" s="238"/>
      <c r="GE60" s="238"/>
      <c r="GF60" s="238"/>
      <c r="GG60" s="238"/>
      <c r="GH60" s="238"/>
      <c r="GI60" s="238"/>
      <c r="GJ60" s="238"/>
      <c r="GK60" s="238"/>
      <c r="GL60" s="238"/>
      <c r="GM60" s="238"/>
      <c r="GN60" s="238"/>
      <c r="GO60" s="238"/>
      <c r="GP60" s="238"/>
      <c r="GQ60" s="238"/>
      <c r="GR60" s="238"/>
      <c r="GS60" s="238"/>
      <c r="GT60" s="238"/>
      <c r="GU60" s="238"/>
      <c r="GV60" s="238"/>
      <c r="GW60" s="238"/>
      <c r="GX60" s="238"/>
      <c r="GY60" s="238"/>
      <c r="GZ60" s="238"/>
      <c r="HA60" s="238"/>
      <c r="HB60" s="238"/>
      <c r="HC60" s="238"/>
      <c r="HD60" s="238"/>
      <c r="HE60" s="238"/>
      <c r="HF60" s="238"/>
      <c r="HG60" s="238"/>
      <c r="HH60" s="238"/>
      <c r="HI60" s="238"/>
      <c r="HJ60" s="238"/>
      <c r="HK60" s="238"/>
      <c r="HL60" s="238"/>
      <c r="HM60" s="238"/>
      <c r="HN60" s="238"/>
      <c r="HO60" s="238"/>
      <c r="HP60" s="238"/>
      <c r="HQ60" s="238"/>
      <c r="HR60" s="238"/>
      <c r="HS60" s="238"/>
      <c r="HT60" s="238"/>
      <c r="HU60" s="238"/>
      <c r="HV60" s="238"/>
      <c r="HW60" s="238"/>
      <c r="HX60" s="238"/>
      <c r="HY60" s="238"/>
      <c r="HZ60" s="238"/>
      <c r="IA60" s="238"/>
      <c r="IB60" s="238"/>
      <c r="IC60" s="238"/>
      <c r="ID60" s="238"/>
      <c r="IE60" s="238"/>
      <c r="IF60" s="238"/>
      <c r="IG60" s="238"/>
      <c r="IH60" s="238"/>
      <c r="II60" s="238"/>
      <c r="IJ60" s="238"/>
      <c r="IK60" s="238"/>
      <c r="IL60" s="238"/>
      <c r="IM60" s="238"/>
      <c r="IN60" s="238"/>
      <c r="IO60" s="238"/>
      <c r="IP60" s="238"/>
      <c r="IQ60" s="238"/>
      <c r="IR60" s="238"/>
      <c r="IS60" s="238"/>
      <c r="IT60" s="238"/>
      <c r="IU60" s="238"/>
      <c r="IV60" s="238"/>
      <c r="IW60" s="238"/>
      <c r="IX60" s="238"/>
      <c r="IY60" s="238"/>
      <c r="IZ60" s="238"/>
      <c r="JA60" s="238"/>
      <c r="JB60" s="238"/>
      <c r="JC60" s="238"/>
      <c r="JD60" s="238"/>
      <c r="JE60" s="238"/>
      <c r="JF60" s="238"/>
      <c r="JG60" s="238"/>
      <c r="JH60" s="238"/>
      <c r="JI60" s="238"/>
      <c r="JJ60" s="238"/>
      <c r="JK60" s="238"/>
      <c r="JL60" s="238"/>
      <c r="JM60" s="238"/>
      <c r="JN60" s="238"/>
      <c r="JO60" s="238"/>
      <c r="JP60" s="238"/>
      <c r="JQ60" s="238"/>
      <c r="JR60" s="238"/>
      <c r="JS60" s="238"/>
      <c r="JT60" s="238"/>
      <c r="JU60" s="238"/>
      <c r="JV60" s="238"/>
      <c r="JW60" s="238"/>
      <c r="JX60" s="238"/>
      <c r="JY60" s="238"/>
      <c r="JZ60" s="238"/>
      <c r="KA60" s="238"/>
      <c r="KB60" s="238"/>
      <c r="KC60" s="238"/>
      <c r="KD60" s="238"/>
      <c r="KE60" s="238"/>
      <c r="KF60" s="238"/>
      <c r="KG60" s="238"/>
      <c r="KH60" s="238"/>
      <c r="KI60" s="238"/>
      <c r="KJ60" s="238"/>
      <c r="KK60" s="238"/>
      <c r="KL60" s="238"/>
      <c r="KM60" s="238"/>
      <c r="KN60" s="238"/>
      <c r="KO60" s="238"/>
      <c r="KP60" s="238"/>
      <c r="KQ60" s="238"/>
      <c r="KR60" s="238"/>
      <c r="KS60" s="238"/>
      <c r="KT60" s="238"/>
      <c r="KU60" s="238"/>
      <c r="KV60" s="238"/>
      <c r="KW60" s="238"/>
      <c r="KX60" s="238"/>
      <c r="KY60" s="238"/>
      <c r="KZ60" s="238"/>
      <c r="LA60" s="238"/>
      <c r="LB60" s="238"/>
      <c r="LC60" s="238"/>
      <c r="LD60" s="238"/>
      <c r="LE60" s="238"/>
      <c r="LF60" s="238"/>
      <c r="LG60" s="238"/>
      <c r="LH60" s="238"/>
      <c r="LI60" s="238"/>
      <c r="LJ60" s="238"/>
      <c r="LK60" s="238"/>
      <c r="LL60" s="238"/>
      <c r="LM60" s="238"/>
      <c r="LN60" s="238"/>
      <c r="LO60" s="238"/>
      <c r="LP60" s="238"/>
      <c r="LQ60" s="238"/>
      <c r="LR60" s="238"/>
      <c r="LS60" s="238"/>
      <c r="LT60" s="238"/>
      <c r="LU60" s="238"/>
      <c r="LV60" s="238"/>
      <c r="LW60" s="238"/>
      <c r="LX60" s="238"/>
      <c r="LY60" s="238"/>
      <c r="LZ60" s="238"/>
      <c r="MA60" s="238"/>
      <c r="MB60" s="238"/>
      <c r="MC60" s="238"/>
      <c r="MD60" s="238"/>
      <c r="ME60" s="238"/>
      <c r="MF60" s="238"/>
      <c r="MG60" s="238"/>
      <c r="MH60" s="238"/>
      <c r="MI60" s="238"/>
      <c r="MJ60" s="238"/>
      <c r="MK60" s="238"/>
      <c r="ML60" s="238"/>
      <c r="MM60" s="238"/>
      <c r="MN60" s="238"/>
      <c r="MO60" s="238"/>
      <c r="MP60" s="238"/>
      <c r="MQ60" s="238"/>
      <c r="MR60" s="238"/>
      <c r="MS60" s="238"/>
      <c r="MT60" s="238"/>
      <c r="MU60" s="238"/>
      <c r="MV60" s="238"/>
      <c r="MW60" s="238"/>
      <c r="MX60" s="238"/>
      <c r="MY60" s="238"/>
      <c r="MZ60" s="238"/>
      <c r="NA60" s="238"/>
      <c r="NB60" s="238"/>
      <c r="NC60" s="238"/>
      <c r="ND60" s="238"/>
      <c r="NE60" s="238"/>
      <c r="NF60" s="238"/>
      <c r="NG60" s="238"/>
      <c r="NH60" s="238"/>
      <c r="NI60" s="238"/>
      <c r="NJ60" s="238"/>
      <c r="NK60" s="238"/>
      <c r="NL60" s="238"/>
      <c r="NM60" s="238"/>
      <c r="NN60" s="238"/>
      <c r="NO60" s="238"/>
      <c r="NP60" s="238"/>
      <c r="NQ60" s="238"/>
      <c r="NR60" s="238"/>
      <c r="NS60" s="238"/>
      <c r="NT60" s="238"/>
      <c r="NU60" s="238"/>
      <c r="NV60" s="238"/>
      <c r="NW60" s="238"/>
      <c r="NX60" s="238"/>
      <c r="NY60" s="238"/>
      <c r="NZ60" s="238"/>
      <c r="OA60" s="238"/>
      <c r="OB60" s="238"/>
      <c r="OC60" s="238"/>
      <c r="OD60" s="238"/>
      <c r="OE60" s="238"/>
      <c r="OF60" s="238"/>
      <c r="OG60" s="238"/>
      <c r="OH60" s="238"/>
      <c r="OI60" s="238"/>
      <c r="OJ60" s="238"/>
      <c r="OK60" s="238"/>
      <c r="OL60" s="238"/>
      <c r="OM60" s="238"/>
      <c r="ON60" s="238"/>
      <c r="OO60" s="238"/>
      <c r="OP60" s="238"/>
      <c r="OQ60" s="238"/>
      <c r="OR60" s="238"/>
      <c r="OS60" s="238"/>
      <c r="OT60" s="238"/>
      <c r="OU60" s="238"/>
      <c r="OV60" s="238"/>
      <c r="OW60" s="238"/>
      <c r="OX60" s="238"/>
      <c r="OY60" s="238"/>
      <c r="OZ60" s="238"/>
      <c r="PA60" s="238"/>
      <c r="PB60" s="238"/>
      <c r="PC60" s="238"/>
      <c r="PD60" s="238"/>
      <c r="PE60" s="238"/>
      <c r="PF60" s="238"/>
      <c r="PG60" s="238"/>
      <c r="PH60" s="238"/>
      <c r="PI60" s="238"/>
      <c r="PJ60" s="238"/>
      <c r="PK60" s="238"/>
      <c r="PL60" s="238"/>
      <c r="PM60" s="238"/>
      <c r="PN60" s="238"/>
      <c r="PO60" s="238"/>
      <c r="PP60" s="238"/>
      <c r="PQ60" s="238"/>
      <c r="PR60" s="238"/>
      <c r="PS60" s="238"/>
      <c r="PT60" s="238"/>
      <c r="PU60" s="238"/>
      <c r="PV60" s="238"/>
      <c r="PW60" s="238"/>
      <c r="PX60" s="238"/>
      <c r="PY60" s="238"/>
      <c r="PZ60" s="238"/>
      <c r="QA60" s="238"/>
      <c r="QB60" s="238"/>
      <c r="QC60" s="238"/>
      <c r="QD60" s="238"/>
      <c r="QE60" s="238"/>
      <c r="QF60" s="238"/>
      <c r="QG60" s="238"/>
      <c r="QH60" s="238"/>
      <c r="QI60" s="238"/>
      <c r="QJ60" s="238"/>
      <c r="QK60" s="238"/>
      <c r="QL60" s="238"/>
      <c r="QM60" s="238"/>
      <c r="QN60" s="238"/>
      <c r="QO60" s="238"/>
      <c r="QP60" s="238"/>
      <c r="QQ60" s="238"/>
      <c r="QR60" s="238"/>
      <c r="QS60" s="238"/>
      <c r="QT60" s="238"/>
      <c r="QU60" s="238"/>
      <c r="QV60" s="238"/>
      <c r="QW60" s="238"/>
      <c r="QX60" s="238"/>
      <c r="QY60" s="238"/>
      <c r="QZ60" s="238"/>
      <c r="RA60" s="238"/>
      <c r="RB60" s="238"/>
      <c r="RC60" s="238"/>
      <c r="RD60" s="238"/>
      <c r="RE60" s="238"/>
      <c r="RF60" s="238"/>
      <c r="RG60" s="238"/>
      <c r="RH60" s="238"/>
      <c r="RI60" s="238"/>
      <c r="RJ60" s="238"/>
      <c r="RK60" s="238"/>
      <c r="RL60" s="238"/>
      <c r="RM60" s="238"/>
      <c r="RN60" s="238"/>
      <c r="RO60" s="238"/>
      <c r="RP60" s="238"/>
      <c r="RQ60" s="238"/>
      <c r="RR60" s="238"/>
      <c r="RS60" s="238"/>
      <c r="RT60" s="238"/>
      <c r="RU60" s="238"/>
      <c r="RV60" s="238"/>
      <c r="RW60" s="238"/>
      <c r="RX60" s="238"/>
      <c r="RY60" s="238"/>
      <c r="RZ60" s="238"/>
      <c r="SA60" s="238"/>
      <c r="SB60" s="238"/>
      <c r="SC60" s="238"/>
      <c r="SD60" s="238"/>
      <c r="SE60" s="238"/>
      <c r="SF60" s="238"/>
      <c r="SG60" s="238"/>
      <c r="SH60" s="238"/>
      <c r="SI60" s="238"/>
      <c r="SJ60" s="238"/>
      <c r="SK60" s="238"/>
      <c r="SL60" s="238"/>
      <c r="SM60" s="238"/>
      <c r="SN60" s="238"/>
      <c r="SO60" s="238"/>
      <c r="SP60" s="238"/>
      <c r="SQ60" s="238"/>
      <c r="SR60" s="238"/>
      <c r="SS60" s="238"/>
      <c r="ST60" s="238"/>
      <c r="SU60" s="238"/>
      <c r="SV60" s="238"/>
      <c r="SW60" s="238"/>
      <c r="SX60" s="238"/>
      <c r="SY60" s="238"/>
      <c r="SZ60" s="238"/>
      <c r="TA60" s="238"/>
      <c r="TB60" s="238"/>
      <c r="TC60" s="238"/>
      <c r="TD60" s="238"/>
      <c r="TE60" s="238"/>
      <c r="TF60" s="238"/>
      <c r="TG60" s="238"/>
      <c r="TH60" s="238"/>
      <c r="TI60" s="238"/>
      <c r="TJ60" s="238"/>
      <c r="TK60" s="238"/>
      <c r="TL60" s="238"/>
      <c r="TM60" s="238"/>
      <c r="TN60" s="238"/>
      <c r="TO60" s="238"/>
      <c r="TP60" s="238"/>
      <c r="TQ60" s="238"/>
      <c r="TR60" s="238"/>
      <c r="TS60" s="238"/>
      <c r="TT60" s="238"/>
      <c r="TU60" s="238"/>
      <c r="TV60" s="238"/>
      <c r="TW60" s="238"/>
      <c r="TX60" s="238"/>
      <c r="TY60" s="238"/>
      <c r="TZ60" s="238"/>
      <c r="UA60" s="238"/>
      <c r="UB60" s="238"/>
      <c r="UC60" s="238"/>
      <c r="UD60" s="238"/>
      <c r="UE60" s="238"/>
      <c r="UF60" s="238"/>
      <c r="UG60" s="238"/>
      <c r="UH60" s="238"/>
      <c r="UI60" s="238"/>
      <c r="UJ60" s="238"/>
      <c r="UK60" s="238"/>
      <c r="UL60" s="238"/>
      <c r="UM60" s="238"/>
      <c r="UN60" s="238"/>
      <c r="UO60" s="238"/>
      <c r="UP60" s="238"/>
      <c r="UQ60" s="238"/>
      <c r="UR60" s="238"/>
      <c r="US60" s="238"/>
      <c r="UT60" s="238"/>
      <c r="UU60" s="238"/>
      <c r="UV60" s="238"/>
      <c r="UW60" s="238"/>
      <c r="UX60" s="238"/>
      <c r="UY60" s="238"/>
      <c r="UZ60" s="238"/>
      <c r="VA60" s="238"/>
      <c r="VB60" s="238"/>
      <c r="VC60" s="238"/>
      <c r="VD60" s="238"/>
      <c r="VE60" s="238"/>
      <c r="VF60" s="238"/>
      <c r="VG60" s="238"/>
      <c r="VH60" s="238"/>
      <c r="VI60" s="238"/>
      <c r="VJ60" s="238"/>
      <c r="VK60" s="238"/>
      <c r="VL60" s="238"/>
      <c r="VM60" s="238"/>
      <c r="VN60" s="238"/>
      <c r="VO60" s="238"/>
      <c r="VP60" s="238"/>
      <c r="VQ60" s="238"/>
      <c r="VR60" s="238"/>
      <c r="VS60" s="238"/>
      <c r="VT60" s="238"/>
      <c r="VU60" s="238"/>
      <c r="VV60" s="238"/>
      <c r="VW60" s="238"/>
      <c r="VX60" s="238"/>
      <c r="VY60" s="238"/>
      <c r="VZ60" s="238"/>
      <c r="WA60" s="238"/>
      <c r="WB60" s="238"/>
      <c r="WC60" s="238"/>
      <c r="WD60" s="238"/>
      <c r="WE60" s="238"/>
      <c r="WF60" s="238"/>
      <c r="WG60" s="238"/>
      <c r="WH60" s="238"/>
      <c r="WI60" s="238"/>
      <c r="WJ60" s="238"/>
      <c r="WK60" s="238"/>
      <c r="WL60" s="238"/>
      <c r="WM60" s="238"/>
      <c r="WN60" s="238"/>
      <c r="WO60" s="238"/>
      <c r="WP60" s="238"/>
      <c r="WQ60" s="238"/>
      <c r="WR60" s="238"/>
      <c r="WS60" s="238"/>
      <c r="WT60" s="238"/>
      <c r="WU60" s="238"/>
      <c r="WV60" s="238"/>
      <c r="WW60" s="238"/>
      <c r="WX60" s="238"/>
      <c r="WY60" s="238"/>
      <c r="WZ60" s="238"/>
      <c r="XA60" s="238"/>
      <c r="XB60" s="238"/>
      <c r="XC60" s="238"/>
      <c r="XD60" s="238"/>
      <c r="XE60" s="238"/>
      <c r="XF60" s="238"/>
      <c r="XG60" s="238"/>
      <c r="XH60" s="238"/>
      <c r="XI60" s="238"/>
      <c r="XJ60" s="238"/>
      <c r="XK60" s="238"/>
      <c r="XL60" s="238"/>
      <c r="XM60" s="238"/>
      <c r="XN60" s="238"/>
      <c r="XO60" s="238"/>
      <c r="XP60" s="238"/>
      <c r="XQ60" s="238"/>
      <c r="XR60" s="238"/>
      <c r="XS60" s="238"/>
      <c r="XT60" s="238"/>
      <c r="XU60" s="238"/>
      <c r="XV60" s="238"/>
      <c r="XW60" s="238"/>
      <c r="XX60" s="238"/>
      <c r="XY60" s="238"/>
      <c r="XZ60" s="238"/>
      <c r="YA60" s="238"/>
      <c r="YB60" s="238"/>
      <c r="YC60" s="238"/>
      <c r="YD60" s="238"/>
      <c r="YE60" s="238"/>
      <c r="YF60" s="238"/>
      <c r="YG60" s="238"/>
      <c r="YH60" s="238"/>
      <c r="YI60" s="238"/>
      <c r="YJ60" s="238"/>
      <c r="YK60" s="238"/>
      <c r="YL60" s="238"/>
      <c r="YM60" s="238"/>
      <c r="YN60" s="238"/>
      <c r="YO60" s="238"/>
      <c r="YP60" s="238"/>
      <c r="YQ60" s="238"/>
      <c r="YR60" s="238"/>
      <c r="YS60" s="238"/>
      <c r="YT60" s="238"/>
      <c r="YU60" s="238"/>
      <c r="YV60" s="238"/>
      <c r="YW60" s="238"/>
      <c r="YX60" s="238"/>
    </row>
    <row r="61" spans="1:674" s="238" customFormat="1" ht="23.1" customHeight="1">
      <c r="A61" s="156"/>
      <c r="B61" s="172"/>
      <c r="C61" s="166"/>
      <c r="D61" s="173"/>
      <c r="E61" s="173"/>
      <c r="F61" s="165"/>
      <c r="G61" s="156"/>
      <c r="H61" s="173"/>
      <c r="I61" s="156"/>
      <c r="J61" s="165"/>
      <c r="K61" s="165"/>
      <c r="L61" s="159"/>
      <c r="M61" s="156"/>
      <c r="N61" s="178"/>
      <c r="O61" s="237"/>
    </row>
    <row r="62" spans="1:674" s="238" customFormat="1" ht="23.1" customHeight="1">
      <c r="A62" s="156"/>
      <c r="B62" s="148" t="s">
        <v>579</v>
      </c>
      <c r="C62" s="147"/>
      <c r="D62" s="171"/>
      <c r="E62" s="171"/>
      <c r="F62" s="147"/>
      <c r="G62" s="171"/>
      <c r="H62" s="171"/>
      <c r="I62" s="171"/>
      <c r="J62" s="149"/>
      <c r="K62" s="147"/>
      <c r="L62" s="174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47"/>
      <c r="BH62" s="147"/>
      <c r="BI62" s="147"/>
      <c r="BJ62" s="147"/>
      <c r="BK62" s="147"/>
      <c r="BL62" s="147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W62" s="147"/>
      <c r="BX62" s="147"/>
      <c r="BY62" s="147"/>
      <c r="BZ62" s="147"/>
      <c r="CA62" s="147"/>
      <c r="CB62" s="147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  <c r="CN62" s="147"/>
      <c r="CO62" s="147"/>
      <c r="CP62" s="147"/>
      <c r="CQ62" s="147"/>
      <c r="CR62" s="147"/>
      <c r="CS62" s="147"/>
      <c r="CT62" s="147"/>
      <c r="CU62" s="147"/>
      <c r="CV62" s="147"/>
      <c r="CW62" s="147"/>
      <c r="CX62" s="147"/>
      <c r="CY62" s="147"/>
      <c r="CZ62" s="147"/>
      <c r="DA62" s="147"/>
      <c r="DB62" s="147"/>
      <c r="DC62" s="147"/>
      <c r="DD62" s="147"/>
      <c r="DE62" s="147"/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47"/>
      <c r="DQ62" s="147"/>
      <c r="DR62" s="147"/>
      <c r="DS62" s="147"/>
      <c r="DT62" s="147"/>
      <c r="DU62" s="147"/>
      <c r="DV62" s="147"/>
      <c r="DW62" s="147"/>
      <c r="DX62" s="147"/>
      <c r="DY62" s="147"/>
      <c r="DZ62" s="147"/>
      <c r="EA62" s="147"/>
      <c r="EB62" s="147"/>
      <c r="EC62" s="147"/>
      <c r="ED62" s="147"/>
      <c r="EE62" s="147"/>
      <c r="EF62" s="147"/>
      <c r="EG62" s="147"/>
      <c r="EH62" s="147"/>
      <c r="EI62" s="147"/>
      <c r="EJ62" s="147"/>
      <c r="EK62" s="147"/>
      <c r="EL62" s="147"/>
      <c r="EM62" s="147"/>
      <c r="EN62" s="147"/>
      <c r="EO62" s="147"/>
      <c r="EP62" s="147"/>
      <c r="EQ62" s="147"/>
      <c r="ER62" s="147"/>
      <c r="ES62" s="147"/>
      <c r="ET62" s="147"/>
      <c r="EU62" s="147"/>
      <c r="EV62" s="147"/>
      <c r="EW62" s="147"/>
      <c r="EX62" s="147"/>
      <c r="EY62" s="147"/>
      <c r="EZ62" s="147"/>
      <c r="FA62" s="147"/>
      <c r="FB62" s="147"/>
      <c r="FC62" s="147"/>
      <c r="FD62" s="147"/>
      <c r="FE62" s="147"/>
      <c r="FF62" s="147"/>
      <c r="FG62" s="147"/>
      <c r="FH62" s="147"/>
      <c r="FI62" s="147"/>
      <c r="FJ62" s="147"/>
      <c r="FK62" s="147"/>
      <c r="FL62" s="147"/>
      <c r="FM62" s="147"/>
      <c r="FN62" s="147"/>
      <c r="FO62" s="147"/>
      <c r="FP62" s="147"/>
      <c r="FQ62" s="147"/>
      <c r="FR62" s="147"/>
      <c r="FS62" s="147"/>
      <c r="FT62" s="147"/>
      <c r="FU62" s="147"/>
      <c r="FV62" s="147"/>
      <c r="FW62" s="147"/>
      <c r="FX62" s="147"/>
      <c r="FY62" s="147"/>
      <c r="FZ62" s="147"/>
      <c r="GA62" s="147"/>
      <c r="GB62" s="147"/>
      <c r="GC62" s="147"/>
      <c r="GD62" s="147"/>
      <c r="GE62" s="147"/>
      <c r="GF62" s="147"/>
      <c r="GG62" s="147"/>
      <c r="GH62" s="147"/>
      <c r="GI62" s="147"/>
      <c r="GJ62" s="147"/>
      <c r="GK62" s="147"/>
      <c r="GL62" s="147"/>
      <c r="GM62" s="147"/>
      <c r="GN62" s="147"/>
      <c r="GO62" s="147"/>
      <c r="GP62" s="147"/>
      <c r="GQ62" s="147"/>
      <c r="GR62" s="147"/>
      <c r="GS62" s="147"/>
      <c r="GT62" s="147"/>
      <c r="GU62" s="147"/>
      <c r="GV62" s="147"/>
      <c r="GW62" s="147"/>
      <c r="GX62" s="147"/>
      <c r="GY62" s="147"/>
      <c r="GZ62" s="147"/>
      <c r="HA62" s="147"/>
      <c r="HB62" s="147"/>
      <c r="HC62" s="147"/>
      <c r="HD62" s="147"/>
      <c r="HE62" s="147"/>
      <c r="HF62" s="147"/>
      <c r="HG62" s="147"/>
      <c r="HH62" s="147"/>
      <c r="HI62" s="147"/>
      <c r="HJ62" s="147"/>
      <c r="HK62" s="147"/>
      <c r="HL62" s="147"/>
      <c r="HM62" s="147"/>
      <c r="HN62" s="147"/>
      <c r="HO62" s="147"/>
      <c r="HP62" s="147"/>
      <c r="HQ62" s="147"/>
      <c r="HR62" s="147"/>
      <c r="HS62" s="147"/>
      <c r="HT62" s="147"/>
      <c r="HU62" s="147"/>
      <c r="HV62" s="147"/>
      <c r="HW62" s="147"/>
      <c r="HX62" s="147"/>
      <c r="HY62" s="147"/>
      <c r="HZ62" s="147"/>
      <c r="IA62" s="147"/>
      <c r="IB62" s="147"/>
      <c r="IC62" s="147"/>
      <c r="ID62" s="147"/>
      <c r="IE62" s="147"/>
      <c r="IF62" s="147"/>
      <c r="IG62" s="147"/>
      <c r="IH62" s="147"/>
      <c r="II62" s="147"/>
      <c r="IJ62" s="147"/>
      <c r="IK62" s="147"/>
      <c r="IL62" s="147"/>
      <c r="IM62" s="147"/>
      <c r="IN62" s="147"/>
      <c r="IO62" s="147"/>
      <c r="IP62" s="147"/>
      <c r="IQ62" s="147"/>
      <c r="IR62" s="147"/>
      <c r="IS62" s="147"/>
      <c r="IT62" s="147"/>
      <c r="IU62" s="147"/>
      <c r="IV62" s="147"/>
      <c r="IW62" s="147"/>
      <c r="IX62" s="147"/>
      <c r="IY62" s="147"/>
      <c r="IZ62" s="147"/>
      <c r="JA62" s="147"/>
      <c r="JB62" s="147"/>
      <c r="JC62" s="147"/>
      <c r="JD62" s="147"/>
      <c r="JE62" s="147"/>
      <c r="JF62" s="147"/>
      <c r="JG62" s="147"/>
      <c r="JH62" s="147"/>
      <c r="JI62" s="147"/>
      <c r="JJ62" s="147"/>
      <c r="JK62" s="147"/>
      <c r="JL62" s="147"/>
      <c r="JM62" s="147"/>
      <c r="JN62" s="147"/>
      <c r="JO62" s="147"/>
      <c r="JP62" s="147"/>
      <c r="JQ62" s="147"/>
      <c r="JR62" s="147"/>
      <c r="JS62" s="147"/>
      <c r="JT62" s="147"/>
      <c r="JU62" s="147"/>
      <c r="JV62" s="147"/>
      <c r="JW62" s="147"/>
      <c r="JX62" s="147"/>
      <c r="JY62" s="147"/>
      <c r="JZ62" s="147"/>
      <c r="KA62" s="147"/>
      <c r="KB62" s="147"/>
      <c r="KC62" s="147"/>
      <c r="KD62" s="147"/>
      <c r="KE62" s="147"/>
      <c r="KF62" s="147"/>
      <c r="KG62" s="147"/>
      <c r="KH62" s="147"/>
      <c r="KI62" s="147"/>
      <c r="KJ62" s="147"/>
      <c r="KK62" s="147"/>
      <c r="KL62" s="147"/>
      <c r="KM62" s="147"/>
      <c r="KN62" s="147"/>
      <c r="KO62" s="147"/>
      <c r="KP62" s="147"/>
      <c r="KQ62" s="147"/>
      <c r="KR62" s="147"/>
      <c r="KS62" s="147"/>
      <c r="KT62" s="147"/>
      <c r="KU62" s="147"/>
      <c r="KV62" s="147"/>
      <c r="KW62" s="147"/>
      <c r="KX62" s="147"/>
      <c r="KY62" s="147"/>
      <c r="KZ62" s="147"/>
      <c r="LA62" s="147"/>
      <c r="LB62" s="147"/>
      <c r="LC62" s="147"/>
      <c r="LD62" s="147"/>
      <c r="LE62" s="147"/>
      <c r="LF62" s="147"/>
      <c r="LG62" s="147"/>
      <c r="LH62" s="147"/>
      <c r="LI62" s="147"/>
      <c r="LJ62" s="147"/>
      <c r="LK62" s="147"/>
      <c r="LL62" s="147"/>
      <c r="LM62" s="147"/>
      <c r="LN62" s="147"/>
      <c r="LO62" s="147"/>
      <c r="LP62" s="147"/>
      <c r="LQ62" s="147"/>
      <c r="LR62" s="147"/>
      <c r="LS62" s="147"/>
      <c r="LT62" s="147"/>
      <c r="LU62" s="147"/>
      <c r="LV62" s="147"/>
      <c r="LW62" s="147"/>
      <c r="LX62" s="147"/>
      <c r="LY62" s="147"/>
      <c r="LZ62" s="147"/>
      <c r="MA62" s="147"/>
      <c r="MB62" s="147"/>
      <c r="MC62" s="147"/>
      <c r="MD62" s="147"/>
      <c r="ME62" s="147"/>
      <c r="MF62" s="147"/>
      <c r="MG62" s="147"/>
      <c r="MH62" s="147"/>
      <c r="MI62" s="147"/>
      <c r="MJ62" s="147"/>
      <c r="MK62" s="147"/>
      <c r="ML62" s="147"/>
      <c r="MM62" s="147"/>
      <c r="MN62" s="147"/>
      <c r="MO62" s="147"/>
      <c r="MP62" s="147"/>
      <c r="MQ62" s="147"/>
      <c r="MR62" s="147"/>
      <c r="MS62" s="147"/>
      <c r="MT62" s="147"/>
      <c r="MU62" s="147"/>
      <c r="MV62" s="147"/>
      <c r="MW62" s="147"/>
      <c r="MX62" s="147"/>
      <c r="MY62" s="147"/>
      <c r="MZ62" s="147"/>
      <c r="NA62" s="147"/>
      <c r="NB62" s="147"/>
      <c r="NC62" s="147"/>
      <c r="ND62" s="147"/>
      <c r="NE62" s="147"/>
      <c r="NF62" s="147"/>
      <c r="NG62" s="147"/>
      <c r="NH62" s="147"/>
      <c r="NI62" s="147"/>
      <c r="NJ62" s="147"/>
      <c r="NK62" s="147"/>
      <c r="NL62" s="147"/>
      <c r="NM62" s="147"/>
      <c r="NN62" s="147"/>
      <c r="NO62" s="147"/>
      <c r="NP62" s="147"/>
      <c r="NQ62" s="147"/>
      <c r="NR62" s="147"/>
      <c r="NS62" s="147"/>
      <c r="NT62" s="147"/>
      <c r="NU62" s="147"/>
      <c r="NV62" s="147"/>
      <c r="NW62" s="147"/>
      <c r="NX62" s="147"/>
      <c r="NY62" s="147"/>
      <c r="NZ62" s="147"/>
      <c r="OA62" s="147"/>
      <c r="OB62" s="147"/>
      <c r="OC62" s="147"/>
      <c r="OD62" s="147"/>
      <c r="OE62" s="147"/>
      <c r="OF62" s="147"/>
      <c r="OG62" s="147"/>
      <c r="OH62" s="147"/>
      <c r="OI62" s="147"/>
      <c r="OJ62" s="147"/>
      <c r="OK62" s="147"/>
      <c r="OL62" s="147"/>
      <c r="OM62" s="147"/>
      <c r="ON62" s="147"/>
      <c r="OO62" s="147"/>
      <c r="OP62" s="147"/>
      <c r="OQ62" s="147"/>
      <c r="OR62" s="147"/>
      <c r="OS62" s="147"/>
      <c r="OT62" s="147"/>
      <c r="OU62" s="147"/>
      <c r="OV62" s="147"/>
      <c r="OW62" s="147"/>
      <c r="OX62" s="147"/>
      <c r="OY62" s="147"/>
      <c r="OZ62" s="147"/>
      <c r="PA62" s="147"/>
      <c r="PB62" s="147"/>
      <c r="PC62" s="147"/>
      <c r="PD62" s="147"/>
      <c r="PE62" s="147"/>
      <c r="PF62" s="147"/>
      <c r="PG62" s="147"/>
      <c r="PH62" s="147"/>
      <c r="PI62" s="147"/>
      <c r="PJ62" s="147"/>
      <c r="PK62" s="147"/>
      <c r="PL62" s="147"/>
      <c r="PM62" s="147"/>
      <c r="PN62" s="147"/>
      <c r="PO62" s="147"/>
      <c r="PP62" s="147"/>
      <c r="PQ62" s="147"/>
      <c r="PR62" s="147"/>
      <c r="PS62" s="147"/>
      <c r="PT62" s="147"/>
      <c r="PU62" s="147"/>
      <c r="PV62" s="147"/>
      <c r="PW62" s="147"/>
      <c r="PX62" s="147"/>
      <c r="PY62" s="147"/>
      <c r="PZ62" s="147"/>
      <c r="QA62" s="147"/>
      <c r="QB62" s="147"/>
      <c r="QC62" s="147"/>
      <c r="QD62" s="147"/>
      <c r="QE62" s="147"/>
      <c r="QF62" s="147"/>
      <c r="QG62" s="147"/>
      <c r="QH62" s="147"/>
      <c r="QI62" s="147"/>
      <c r="QJ62" s="147"/>
      <c r="QK62" s="147"/>
      <c r="QL62" s="147"/>
      <c r="QM62" s="147"/>
      <c r="QN62" s="147"/>
      <c r="QO62" s="147"/>
      <c r="QP62" s="147"/>
      <c r="QQ62" s="147"/>
      <c r="QR62" s="147"/>
      <c r="QS62" s="147"/>
      <c r="QT62" s="147"/>
      <c r="QU62" s="147"/>
      <c r="QV62" s="147"/>
      <c r="QW62" s="147"/>
      <c r="QX62" s="147"/>
      <c r="QY62" s="147"/>
      <c r="QZ62" s="147"/>
      <c r="RA62" s="147"/>
      <c r="RB62" s="147"/>
      <c r="RC62" s="147"/>
      <c r="RD62" s="147"/>
      <c r="RE62" s="147"/>
      <c r="RF62" s="147"/>
      <c r="RG62" s="147"/>
      <c r="RH62" s="147"/>
      <c r="RI62" s="147"/>
      <c r="RJ62" s="147"/>
      <c r="RK62" s="147"/>
      <c r="RL62" s="147"/>
      <c r="RM62" s="147"/>
      <c r="RN62" s="147"/>
      <c r="RO62" s="147"/>
      <c r="RP62" s="147"/>
      <c r="RQ62" s="147"/>
      <c r="RR62" s="147"/>
      <c r="RS62" s="147"/>
      <c r="RT62" s="147"/>
      <c r="RU62" s="147"/>
      <c r="RV62" s="147"/>
      <c r="RW62" s="147"/>
      <c r="RX62" s="147"/>
      <c r="RY62" s="147"/>
      <c r="RZ62" s="147"/>
      <c r="SA62" s="147"/>
      <c r="SB62" s="147"/>
      <c r="SC62" s="147"/>
      <c r="SD62" s="147"/>
      <c r="SE62" s="147"/>
      <c r="SF62" s="147"/>
      <c r="SG62" s="147"/>
      <c r="SH62" s="147"/>
      <c r="SI62" s="147"/>
      <c r="SJ62" s="147"/>
      <c r="SK62" s="147"/>
      <c r="SL62" s="147"/>
      <c r="SM62" s="147"/>
      <c r="SN62" s="147"/>
      <c r="SO62" s="147"/>
      <c r="SP62" s="147"/>
      <c r="SQ62" s="147"/>
      <c r="SR62" s="147"/>
      <c r="SS62" s="147"/>
      <c r="ST62" s="147"/>
      <c r="SU62" s="147"/>
      <c r="SV62" s="147"/>
      <c r="SW62" s="147"/>
      <c r="SX62" s="147"/>
      <c r="SY62" s="147"/>
      <c r="SZ62" s="147"/>
      <c r="TA62" s="147"/>
      <c r="TB62" s="147"/>
      <c r="TC62" s="147"/>
      <c r="TD62" s="147"/>
      <c r="TE62" s="147"/>
      <c r="TF62" s="147"/>
      <c r="TG62" s="147"/>
      <c r="TH62" s="147"/>
      <c r="TI62" s="147"/>
      <c r="TJ62" s="147"/>
      <c r="TK62" s="147"/>
      <c r="TL62" s="147"/>
      <c r="TM62" s="147"/>
      <c r="TN62" s="147"/>
      <c r="TO62" s="147"/>
      <c r="TP62" s="147"/>
      <c r="TQ62" s="147"/>
      <c r="TR62" s="147"/>
      <c r="TS62" s="147"/>
      <c r="TT62" s="147"/>
      <c r="TU62" s="147"/>
      <c r="TV62" s="147"/>
      <c r="TW62" s="147"/>
      <c r="TX62" s="147"/>
      <c r="TY62" s="147"/>
      <c r="TZ62" s="147"/>
      <c r="UA62" s="147"/>
      <c r="UB62" s="147"/>
      <c r="UC62" s="147"/>
      <c r="UD62" s="147"/>
      <c r="UE62" s="147"/>
      <c r="UF62" s="147"/>
      <c r="UG62" s="147"/>
      <c r="UH62" s="147"/>
      <c r="UI62" s="147"/>
      <c r="UJ62" s="147"/>
      <c r="UK62" s="147"/>
      <c r="UL62" s="147"/>
      <c r="UM62" s="147"/>
      <c r="UN62" s="147"/>
      <c r="UO62" s="147"/>
      <c r="UP62" s="147"/>
      <c r="UQ62" s="147"/>
      <c r="UR62" s="147"/>
      <c r="US62" s="147"/>
      <c r="UT62" s="147"/>
      <c r="UU62" s="147"/>
      <c r="UV62" s="147"/>
      <c r="UW62" s="147"/>
      <c r="UX62" s="147"/>
      <c r="UY62" s="147"/>
      <c r="UZ62" s="147"/>
      <c r="VA62" s="147"/>
      <c r="VB62" s="147"/>
      <c r="VC62" s="147"/>
      <c r="VD62" s="147"/>
      <c r="VE62" s="147"/>
      <c r="VF62" s="147"/>
      <c r="VG62" s="147"/>
      <c r="VH62" s="147"/>
      <c r="VI62" s="147"/>
      <c r="VJ62" s="147"/>
      <c r="VK62" s="147"/>
      <c r="VL62" s="147"/>
      <c r="VM62" s="147"/>
      <c r="VN62" s="147"/>
      <c r="VO62" s="147"/>
      <c r="VP62" s="147"/>
      <c r="VQ62" s="147"/>
      <c r="VR62" s="147"/>
      <c r="VS62" s="147"/>
      <c r="VT62" s="147"/>
      <c r="VU62" s="147"/>
      <c r="VV62" s="147"/>
      <c r="VW62" s="147"/>
      <c r="VX62" s="147"/>
      <c r="VY62" s="147"/>
      <c r="VZ62" s="147"/>
      <c r="WA62" s="147"/>
      <c r="WB62" s="147"/>
      <c r="WC62" s="147"/>
      <c r="WD62" s="147"/>
      <c r="WE62" s="147"/>
      <c r="WF62" s="147"/>
      <c r="WG62" s="147"/>
      <c r="WH62" s="147"/>
      <c r="WI62" s="147"/>
      <c r="WJ62" s="147"/>
      <c r="WK62" s="147"/>
      <c r="WL62" s="147"/>
      <c r="WM62" s="147"/>
      <c r="WN62" s="147"/>
      <c r="WO62" s="147"/>
      <c r="WP62" s="147"/>
      <c r="WQ62" s="147"/>
      <c r="WR62" s="147"/>
      <c r="WS62" s="147"/>
      <c r="WT62" s="147"/>
      <c r="WU62" s="147"/>
      <c r="WV62" s="147"/>
      <c r="WW62" s="147"/>
      <c r="WX62" s="147"/>
      <c r="WY62" s="147"/>
      <c r="WZ62" s="147"/>
      <c r="XA62" s="147"/>
      <c r="XB62" s="147"/>
      <c r="XC62" s="147"/>
      <c r="XD62" s="147"/>
      <c r="XE62" s="147"/>
      <c r="XF62" s="147"/>
      <c r="XG62" s="147"/>
      <c r="XH62" s="147"/>
      <c r="XI62" s="147"/>
      <c r="XJ62" s="147"/>
      <c r="XK62" s="147"/>
      <c r="XL62" s="147"/>
      <c r="XM62" s="147"/>
      <c r="XN62" s="147"/>
      <c r="XO62" s="147"/>
      <c r="XP62" s="147"/>
      <c r="XQ62" s="147"/>
      <c r="XR62" s="147"/>
      <c r="XS62" s="147"/>
      <c r="XT62" s="147"/>
      <c r="XU62" s="147"/>
      <c r="XV62" s="147"/>
      <c r="XW62" s="147"/>
      <c r="XX62" s="147"/>
      <c r="XY62" s="147"/>
      <c r="XZ62" s="147"/>
      <c r="YA62" s="147"/>
      <c r="YB62" s="147"/>
      <c r="YC62" s="147"/>
      <c r="YD62" s="147"/>
      <c r="YE62" s="147"/>
      <c r="YF62" s="147"/>
      <c r="YG62" s="147"/>
      <c r="YH62" s="147"/>
      <c r="YI62" s="147"/>
      <c r="YJ62" s="147"/>
      <c r="YK62" s="147"/>
      <c r="YL62" s="147"/>
      <c r="YM62" s="147"/>
      <c r="YN62" s="147"/>
      <c r="YO62" s="147"/>
      <c r="YP62" s="147"/>
      <c r="YQ62" s="147"/>
      <c r="YR62" s="147"/>
      <c r="YS62" s="147"/>
      <c r="YT62" s="147"/>
      <c r="YU62" s="147"/>
      <c r="YV62" s="147"/>
      <c r="YW62" s="147"/>
      <c r="YX62" s="147"/>
    </row>
    <row r="63" spans="1:674" s="238" customFormat="1" ht="23.1" customHeight="1">
      <c r="A63" s="156">
        <v>45</v>
      </c>
      <c r="B63" s="176" t="s">
        <v>580</v>
      </c>
      <c r="C63" s="156" t="s">
        <v>161</v>
      </c>
      <c r="D63" s="153"/>
      <c r="E63" s="153"/>
      <c r="F63" s="165" t="s">
        <v>581</v>
      </c>
      <c r="G63" s="156" t="s">
        <v>582</v>
      </c>
      <c r="H63" s="153"/>
      <c r="I63" s="156" t="s">
        <v>583</v>
      </c>
      <c r="J63" s="165" t="s">
        <v>430</v>
      </c>
      <c r="K63" s="175"/>
      <c r="L63" s="159" t="s">
        <v>584</v>
      </c>
      <c r="M63" s="156"/>
      <c r="N63" s="236" t="s">
        <v>585</v>
      </c>
      <c r="O63" s="237"/>
    </row>
    <row r="64" spans="1:674" s="238" customFormat="1" ht="23.1" customHeight="1">
      <c r="A64" s="156">
        <v>46</v>
      </c>
      <c r="B64" s="176" t="s">
        <v>586</v>
      </c>
      <c r="C64" s="156" t="s">
        <v>161</v>
      </c>
      <c r="D64" s="156"/>
      <c r="E64" s="153"/>
      <c r="F64" s="165" t="s">
        <v>163</v>
      </c>
      <c r="G64" s="156" t="s">
        <v>582</v>
      </c>
      <c r="H64" s="153"/>
      <c r="I64" s="156" t="s">
        <v>587</v>
      </c>
      <c r="J64" s="165" t="s">
        <v>588</v>
      </c>
      <c r="K64" s="176"/>
      <c r="L64" s="159" t="s">
        <v>589</v>
      </c>
      <c r="M64" s="156"/>
      <c r="N64" s="236"/>
      <c r="O64" s="237"/>
    </row>
    <row r="65" spans="1:674" s="238" customFormat="1" ht="23.1" customHeight="1">
      <c r="A65" s="156"/>
      <c r="B65" s="176"/>
      <c r="C65" s="156"/>
      <c r="D65" s="156"/>
      <c r="E65" s="153"/>
      <c r="F65" s="165"/>
      <c r="H65" s="153"/>
      <c r="I65" s="156"/>
      <c r="J65" s="165"/>
      <c r="K65" s="176"/>
      <c r="L65" s="159"/>
      <c r="M65" s="156"/>
      <c r="N65" s="236"/>
      <c r="O65" s="237"/>
    </row>
    <row r="66" spans="1:674" s="238" customFormat="1" ht="23.1" customHeight="1">
      <c r="A66" s="156"/>
      <c r="B66" s="148" t="s">
        <v>590</v>
      </c>
      <c r="C66" s="147"/>
      <c r="D66" s="171"/>
      <c r="E66" s="171"/>
      <c r="F66" s="147"/>
      <c r="G66" s="147"/>
      <c r="H66" s="171"/>
      <c r="I66" s="171"/>
      <c r="J66" s="149"/>
      <c r="K66" s="147"/>
      <c r="L66" s="174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7"/>
      <c r="AT66" s="147"/>
      <c r="AU66" s="147"/>
      <c r="AV66" s="147"/>
      <c r="AW66" s="147"/>
      <c r="AX66" s="147"/>
      <c r="AY66" s="147"/>
      <c r="AZ66" s="147"/>
      <c r="BA66" s="147"/>
      <c r="BB66" s="147"/>
      <c r="BC66" s="147"/>
      <c r="BD66" s="147"/>
      <c r="BE66" s="147"/>
      <c r="BF66" s="147"/>
      <c r="BG66" s="147"/>
      <c r="BH66" s="147"/>
      <c r="BI66" s="147"/>
      <c r="BJ66" s="147"/>
      <c r="BK66" s="147"/>
      <c r="BL66" s="147"/>
      <c r="BM66" s="147"/>
      <c r="BN66" s="147"/>
      <c r="BO66" s="147"/>
      <c r="BP66" s="147"/>
      <c r="BQ66" s="147"/>
      <c r="BR66" s="147"/>
      <c r="BS66" s="147"/>
      <c r="BT66" s="147"/>
      <c r="BU66" s="147"/>
      <c r="BV66" s="147"/>
      <c r="BW66" s="147"/>
      <c r="BX66" s="147"/>
      <c r="BY66" s="147"/>
      <c r="BZ66" s="147"/>
      <c r="CA66" s="147"/>
      <c r="CB66" s="147"/>
      <c r="CC66" s="147"/>
      <c r="CD66" s="147"/>
      <c r="CE66" s="147"/>
      <c r="CF66" s="147"/>
      <c r="CG66" s="147"/>
      <c r="CH66" s="147"/>
      <c r="CI66" s="147"/>
      <c r="CJ66" s="147"/>
      <c r="CK66" s="147"/>
      <c r="CL66" s="147"/>
      <c r="CM66" s="147"/>
      <c r="CN66" s="147"/>
      <c r="CO66" s="147"/>
      <c r="CP66" s="147"/>
      <c r="CQ66" s="147"/>
      <c r="CR66" s="147"/>
      <c r="CS66" s="147"/>
      <c r="CT66" s="147"/>
      <c r="CU66" s="147"/>
      <c r="CV66" s="147"/>
      <c r="CW66" s="147"/>
      <c r="CX66" s="147"/>
      <c r="CY66" s="147"/>
      <c r="CZ66" s="147"/>
      <c r="DA66" s="147"/>
      <c r="DB66" s="147"/>
      <c r="DC66" s="147"/>
      <c r="DD66" s="147"/>
      <c r="DE66" s="147"/>
      <c r="DF66" s="147"/>
      <c r="DG66" s="147"/>
      <c r="DH66" s="147"/>
      <c r="DI66" s="147"/>
      <c r="DJ66" s="147"/>
      <c r="DK66" s="147"/>
      <c r="DL66" s="147"/>
      <c r="DM66" s="147"/>
      <c r="DN66" s="147"/>
      <c r="DO66" s="147"/>
      <c r="DP66" s="147"/>
      <c r="DQ66" s="147"/>
      <c r="DR66" s="147"/>
      <c r="DS66" s="147"/>
      <c r="DT66" s="147"/>
      <c r="DU66" s="147"/>
      <c r="DV66" s="147"/>
      <c r="DW66" s="147"/>
      <c r="DX66" s="147"/>
      <c r="DY66" s="147"/>
      <c r="DZ66" s="147"/>
      <c r="EA66" s="147"/>
      <c r="EB66" s="147"/>
      <c r="EC66" s="147"/>
      <c r="ED66" s="147"/>
      <c r="EE66" s="147"/>
      <c r="EF66" s="147"/>
      <c r="EG66" s="147"/>
      <c r="EH66" s="147"/>
      <c r="EI66" s="147"/>
      <c r="EJ66" s="147"/>
      <c r="EK66" s="147"/>
      <c r="EL66" s="147"/>
      <c r="EM66" s="147"/>
      <c r="EN66" s="147"/>
      <c r="EO66" s="147"/>
      <c r="EP66" s="147"/>
      <c r="EQ66" s="147"/>
      <c r="ER66" s="147"/>
      <c r="ES66" s="147"/>
      <c r="ET66" s="147"/>
      <c r="EU66" s="147"/>
      <c r="EV66" s="147"/>
      <c r="EW66" s="147"/>
      <c r="EX66" s="147"/>
      <c r="EY66" s="147"/>
      <c r="EZ66" s="147"/>
      <c r="FA66" s="147"/>
      <c r="FB66" s="147"/>
      <c r="FC66" s="147"/>
      <c r="FD66" s="147"/>
      <c r="FE66" s="147"/>
      <c r="FF66" s="147"/>
      <c r="FG66" s="147"/>
      <c r="FH66" s="147"/>
      <c r="FI66" s="147"/>
      <c r="FJ66" s="147"/>
      <c r="FK66" s="147"/>
      <c r="FL66" s="147"/>
      <c r="FM66" s="147"/>
      <c r="FN66" s="147"/>
      <c r="FO66" s="147"/>
      <c r="FP66" s="147"/>
      <c r="FQ66" s="147"/>
      <c r="FR66" s="147"/>
      <c r="FS66" s="147"/>
      <c r="FT66" s="147"/>
      <c r="FU66" s="147"/>
      <c r="FV66" s="147"/>
      <c r="FW66" s="147"/>
      <c r="FX66" s="147"/>
      <c r="FY66" s="147"/>
      <c r="FZ66" s="147"/>
      <c r="GA66" s="147"/>
      <c r="GB66" s="147"/>
      <c r="GC66" s="147"/>
      <c r="GD66" s="147"/>
      <c r="GE66" s="147"/>
      <c r="GF66" s="147"/>
      <c r="GG66" s="147"/>
      <c r="GH66" s="147"/>
      <c r="GI66" s="147"/>
      <c r="GJ66" s="147"/>
      <c r="GK66" s="147"/>
      <c r="GL66" s="147"/>
      <c r="GM66" s="147"/>
      <c r="GN66" s="147"/>
      <c r="GO66" s="147"/>
      <c r="GP66" s="147"/>
      <c r="GQ66" s="147"/>
      <c r="GR66" s="147"/>
      <c r="GS66" s="147"/>
      <c r="GT66" s="147"/>
      <c r="GU66" s="147"/>
      <c r="GV66" s="147"/>
      <c r="GW66" s="147"/>
      <c r="GX66" s="147"/>
      <c r="GY66" s="147"/>
      <c r="GZ66" s="147"/>
      <c r="HA66" s="147"/>
      <c r="HB66" s="147"/>
      <c r="HC66" s="147"/>
      <c r="HD66" s="147"/>
      <c r="HE66" s="147"/>
      <c r="HF66" s="147"/>
      <c r="HG66" s="147"/>
      <c r="HH66" s="147"/>
      <c r="HI66" s="147"/>
      <c r="HJ66" s="147"/>
      <c r="HK66" s="147"/>
      <c r="HL66" s="147"/>
      <c r="HM66" s="147"/>
      <c r="HN66" s="147"/>
      <c r="HO66" s="147"/>
      <c r="HP66" s="147"/>
      <c r="HQ66" s="147"/>
      <c r="HR66" s="147"/>
      <c r="HS66" s="147"/>
      <c r="HT66" s="147"/>
      <c r="HU66" s="147"/>
      <c r="HV66" s="147"/>
      <c r="HW66" s="147"/>
      <c r="HX66" s="147"/>
      <c r="HY66" s="147"/>
      <c r="HZ66" s="147"/>
      <c r="IA66" s="147"/>
      <c r="IB66" s="147"/>
      <c r="IC66" s="147"/>
      <c r="ID66" s="147"/>
      <c r="IE66" s="147"/>
      <c r="IF66" s="147"/>
      <c r="IG66" s="147"/>
      <c r="IH66" s="147"/>
      <c r="II66" s="147"/>
      <c r="IJ66" s="147"/>
      <c r="IK66" s="147"/>
      <c r="IL66" s="147"/>
      <c r="IM66" s="147"/>
      <c r="IN66" s="147"/>
      <c r="IO66" s="147"/>
      <c r="IP66" s="147"/>
      <c r="IQ66" s="147"/>
      <c r="IR66" s="147"/>
      <c r="IS66" s="147"/>
      <c r="IT66" s="147"/>
      <c r="IU66" s="147"/>
      <c r="IV66" s="147"/>
      <c r="IW66" s="147"/>
      <c r="IX66" s="147"/>
      <c r="IY66" s="147"/>
      <c r="IZ66" s="147"/>
      <c r="JA66" s="147"/>
      <c r="JB66" s="147"/>
      <c r="JC66" s="147"/>
      <c r="JD66" s="147"/>
      <c r="JE66" s="147"/>
      <c r="JF66" s="147"/>
      <c r="JG66" s="147"/>
      <c r="JH66" s="147"/>
      <c r="JI66" s="147"/>
      <c r="JJ66" s="147"/>
      <c r="JK66" s="147"/>
      <c r="JL66" s="147"/>
      <c r="JM66" s="147"/>
      <c r="JN66" s="147"/>
      <c r="JO66" s="147"/>
      <c r="JP66" s="147"/>
      <c r="JQ66" s="147"/>
      <c r="JR66" s="147"/>
      <c r="JS66" s="147"/>
      <c r="JT66" s="147"/>
      <c r="JU66" s="147"/>
      <c r="JV66" s="147"/>
      <c r="JW66" s="147"/>
      <c r="JX66" s="147"/>
      <c r="JY66" s="147"/>
      <c r="JZ66" s="147"/>
      <c r="KA66" s="147"/>
      <c r="KB66" s="147"/>
      <c r="KC66" s="147"/>
      <c r="KD66" s="147"/>
      <c r="KE66" s="147"/>
      <c r="KF66" s="147"/>
      <c r="KG66" s="147"/>
      <c r="KH66" s="147"/>
      <c r="KI66" s="147"/>
      <c r="KJ66" s="147"/>
      <c r="KK66" s="147"/>
      <c r="KL66" s="147"/>
      <c r="KM66" s="147"/>
      <c r="KN66" s="147"/>
      <c r="KO66" s="147"/>
      <c r="KP66" s="147"/>
      <c r="KQ66" s="147"/>
      <c r="KR66" s="147"/>
      <c r="KS66" s="147"/>
      <c r="KT66" s="147"/>
      <c r="KU66" s="147"/>
      <c r="KV66" s="147"/>
      <c r="KW66" s="147"/>
      <c r="KX66" s="147"/>
      <c r="KY66" s="147"/>
      <c r="KZ66" s="147"/>
      <c r="LA66" s="147"/>
      <c r="LB66" s="147"/>
      <c r="LC66" s="147"/>
      <c r="LD66" s="147"/>
      <c r="LE66" s="147"/>
      <c r="LF66" s="147"/>
      <c r="LG66" s="147"/>
      <c r="LH66" s="147"/>
      <c r="LI66" s="147"/>
      <c r="LJ66" s="147"/>
      <c r="LK66" s="147"/>
      <c r="LL66" s="147"/>
      <c r="LM66" s="147"/>
      <c r="LN66" s="147"/>
      <c r="LO66" s="147"/>
      <c r="LP66" s="147"/>
      <c r="LQ66" s="147"/>
      <c r="LR66" s="147"/>
      <c r="LS66" s="147"/>
      <c r="LT66" s="147"/>
      <c r="LU66" s="147"/>
      <c r="LV66" s="147"/>
      <c r="LW66" s="147"/>
      <c r="LX66" s="147"/>
      <c r="LY66" s="147"/>
      <c r="LZ66" s="147"/>
      <c r="MA66" s="147"/>
      <c r="MB66" s="147"/>
      <c r="MC66" s="147"/>
      <c r="MD66" s="147"/>
      <c r="ME66" s="147"/>
      <c r="MF66" s="147"/>
      <c r="MG66" s="147"/>
      <c r="MH66" s="147"/>
      <c r="MI66" s="147"/>
      <c r="MJ66" s="147"/>
      <c r="MK66" s="147"/>
      <c r="ML66" s="147"/>
      <c r="MM66" s="147"/>
      <c r="MN66" s="147"/>
      <c r="MO66" s="147"/>
      <c r="MP66" s="147"/>
      <c r="MQ66" s="147"/>
      <c r="MR66" s="147"/>
      <c r="MS66" s="147"/>
      <c r="MT66" s="147"/>
      <c r="MU66" s="147"/>
      <c r="MV66" s="147"/>
      <c r="MW66" s="147"/>
      <c r="MX66" s="147"/>
      <c r="MY66" s="147"/>
      <c r="MZ66" s="147"/>
      <c r="NA66" s="147"/>
      <c r="NB66" s="147"/>
      <c r="NC66" s="147"/>
      <c r="ND66" s="147"/>
      <c r="NE66" s="147"/>
      <c r="NF66" s="147"/>
      <c r="NG66" s="147"/>
      <c r="NH66" s="147"/>
      <c r="NI66" s="147"/>
      <c r="NJ66" s="147"/>
      <c r="NK66" s="147"/>
      <c r="NL66" s="147"/>
      <c r="NM66" s="147"/>
      <c r="NN66" s="147"/>
      <c r="NO66" s="147"/>
      <c r="NP66" s="147"/>
      <c r="NQ66" s="147"/>
      <c r="NR66" s="147"/>
      <c r="NS66" s="147"/>
      <c r="NT66" s="147"/>
      <c r="NU66" s="147"/>
      <c r="NV66" s="147"/>
      <c r="NW66" s="147"/>
      <c r="NX66" s="147"/>
      <c r="NY66" s="147"/>
      <c r="NZ66" s="147"/>
      <c r="OA66" s="147"/>
      <c r="OB66" s="147"/>
      <c r="OC66" s="147"/>
      <c r="OD66" s="147"/>
      <c r="OE66" s="147"/>
      <c r="OF66" s="147"/>
      <c r="OG66" s="147"/>
      <c r="OH66" s="147"/>
      <c r="OI66" s="147"/>
      <c r="OJ66" s="147"/>
      <c r="OK66" s="147"/>
      <c r="OL66" s="147"/>
      <c r="OM66" s="147"/>
      <c r="ON66" s="147"/>
      <c r="OO66" s="147"/>
      <c r="OP66" s="147"/>
      <c r="OQ66" s="147"/>
      <c r="OR66" s="147"/>
      <c r="OS66" s="147"/>
      <c r="OT66" s="147"/>
      <c r="OU66" s="147"/>
      <c r="OV66" s="147"/>
      <c r="OW66" s="147"/>
      <c r="OX66" s="147"/>
      <c r="OY66" s="147"/>
      <c r="OZ66" s="147"/>
      <c r="PA66" s="147"/>
      <c r="PB66" s="147"/>
      <c r="PC66" s="147"/>
      <c r="PD66" s="147"/>
      <c r="PE66" s="147"/>
      <c r="PF66" s="147"/>
      <c r="PG66" s="147"/>
      <c r="PH66" s="147"/>
      <c r="PI66" s="147"/>
      <c r="PJ66" s="147"/>
      <c r="PK66" s="147"/>
      <c r="PL66" s="147"/>
      <c r="PM66" s="147"/>
      <c r="PN66" s="147"/>
      <c r="PO66" s="147"/>
      <c r="PP66" s="147"/>
      <c r="PQ66" s="147"/>
      <c r="PR66" s="147"/>
      <c r="PS66" s="147"/>
      <c r="PT66" s="147"/>
      <c r="PU66" s="147"/>
      <c r="PV66" s="147"/>
      <c r="PW66" s="147"/>
      <c r="PX66" s="147"/>
      <c r="PY66" s="147"/>
      <c r="PZ66" s="147"/>
      <c r="QA66" s="147"/>
      <c r="QB66" s="147"/>
      <c r="QC66" s="147"/>
      <c r="QD66" s="147"/>
      <c r="QE66" s="147"/>
      <c r="QF66" s="147"/>
      <c r="QG66" s="147"/>
      <c r="QH66" s="147"/>
      <c r="QI66" s="147"/>
      <c r="QJ66" s="147"/>
      <c r="QK66" s="147"/>
      <c r="QL66" s="147"/>
      <c r="QM66" s="147"/>
      <c r="QN66" s="147"/>
      <c r="QO66" s="147"/>
      <c r="QP66" s="147"/>
      <c r="QQ66" s="147"/>
      <c r="QR66" s="147"/>
      <c r="QS66" s="147"/>
      <c r="QT66" s="147"/>
      <c r="QU66" s="147"/>
      <c r="QV66" s="147"/>
      <c r="QW66" s="147"/>
      <c r="QX66" s="147"/>
      <c r="QY66" s="147"/>
      <c r="QZ66" s="147"/>
      <c r="RA66" s="147"/>
      <c r="RB66" s="147"/>
      <c r="RC66" s="147"/>
      <c r="RD66" s="147"/>
      <c r="RE66" s="147"/>
      <c r="RF66" s="147"/>
      <c r="RG66" s="147"/>
      <c r="RH66" s="147"/>
      <c r="RI66" s="147"/>
      <c r="RJ66" s="147"/>
      <c r="RK66" s="147"/>
      <c r="RL66" s="147"/>
      <c r="RM66" s="147"/>
      <c r="RN66" s="147"/>
      <c r="RO66" s="147"/>
      <c r="RP66" s="147"/>
      <c r="RQ66" s="147"/>
      <c r="RR66" s="147"/>
      <c r="RS66" s="147"/>
      <c r="RT66" s="147"/>
      <c r="RU66" s="147"/>
      <c r="RV66" s="147"/>
      <c r="RW66" s="147"/>
      <c r="RX66" s="147"/>
      <c r="RY66" s="147"/>
      <c r="RZ66" s="147"/>
      <c r="SA66" s="147"/>
      <c r="SB66" s="147"/>
      <c r="SC66" s="147"/>
      <c r="SD66" s="147"/>
      <c r="SE66" s="147"/>
      <c r="SF66" s="147"/>
      <c r="SG66" s="147"/>
      <c r="SH66" s="147"/>
      <c r="SI66" s="147"/>
      <c r="SJ66" s="147"/>
      <c r="SK66" s="147"/>
      <c r="SL66" s="147"/>
      <c r="SM66" s="147"/>
      <c r="SN66" s="147"/>
      <c r="SO66" s="147"/>
      <c r="SP66" s="147"/>
      <c r="SQ66" s="147"/>
      <c r="SR66" s="147"/>
      <c r="SS66" s="147"/>
      <c r="ST66" s="147"/>
      <c r="SU66" s="147"/>
      <c r="SV66" s="147"/>
      <c r="SW66" s="147"/>
      <c r="SX66" s="147"/>
      <c r="SY66" s="147"/>
      <c r="SZ66" s="147"/>
      <c r="TA66" s="147"/>
      <c r="TB66" s="147"/>
      <c r="TC66" s="147"/>
      <c r="TD66" s="147"/>
      <c r="TE66" s="147"/>
      <c r="TF66" s="147"/>
      <c r="TG66" s="147"/>
      <c r="TH66" s="147"/>
      <c r="TI66" s="147"/>
      <c r="TJ66" s="147"/>
      <c r="TK66" s="147"/>
      <c r="TL66" s="147"/>
      <c r="TM66" s="147"/>
      <c r="TN66" s="147"/>
      <c r="TO66" s="147"/>
      <c r="TP66" s="147"/>
      <c r="TQ66" s="147"/>
      <c r="TR66" s="147"/>
      <c r="TS66" s="147"/>
      <c r="TT66" s="147"/>
      <c r="TU66" s="147"/>
      <c r="TV66" s="147"/>
      <c r="TW66" s="147"/>
      <c r="TX66" s="147"/>
      <c r="TY66" s="147"/>
      <c r="TZ66" s="147"/>
      <c r="UA66" s="147"/>
      <c r="UB66" s="147"/>
      <c r="UC66" s="147"/>
      <c r="UD66" s="147"/>
      <c r="UE66" s="147"/>
      <c r="UF66" s="147"/>
      <c r="UG66" s="147"/>
      <c r="UH66" s="147"/>
      <c r="UI66" s="147"/>
      <c r="UJ66" s="147"/>
      <c r="UK66" s="147"/>
      <c r="UL66" s="147"/>
      <c r="UM66" s="147"/>
      <c r="UN66" s="147"/>
      <c r="UO66" s="147"/>
      <c r="UP66" s="147"/>
      <c r="UQ66" s="147"/>
      <c r="UR66" s="147"/>
      <c r="US66" s="147"/>
      <c r="UT66" s="147"/>
      <c r="UU66" s="147"/>
      <c r="UV66" s="147"/>
      <c r="UW66" s="147"/>
      <c r="UX66" s="147"/>
      <c r="UY66" s="147"/>
      <c r="UZ66" s="147"/>
      <c r="VA66" s="147"/>
      <c r="VB66" s="147"/>
      <c r="VC66" s="147"/>
      <c r="VD66" s="147"/>
      <c r="VE66" s="147"/>
      <c r="VF66" s="147"/>
      <c r="VG66" s="147"/>
      <c r="VH66" s="147"/>
      <c r="VI66" s="147"/>
      <c r="VJ66" s="147"/>
      <c r="VK66" s="147"/>
      <c r="VL66" s="147"/>
      <c r="VM66" s="147"/>
      <c r="VN66" s="147"/>
      <c r="VO66" s="147"/>
      <c r="VP66" s="147"/>
      <c r="VQ66" s="147"/>
      <c r="VR66" s="147"/>
      <c r="VS66" s="147"/>
      <c r="VT66" s="147"/>
      <c r="VU66" s="147"/>
      <c r="VV66" s="147"/>
      <c r="VW66" s="147"/>
      <c r="VX66" s="147"/>
      <c r="VY66" s="147"/>
      <c r="VZ66" s="147"/>
      <c r="WA66" s="147"/>
      <c r="WB66" s="147"/>
      <c r="WC66" s="147"/>
      <c r="WD66" s="147"/>
      <c r="WE66" s="147"/>
      <c r="WF66" s="147"/>
      <c r="WG66" s="147"/>
      <c r="WH66" s="147"/>
      <c r="WI66" s="147"/>
      <c r="WJ66" s="147"/>
      <c r="WK66" s="147"/>
      <c r="WL66" s="147"/>
      <c r="WM66" s="147"/>
      <c r="WN66" s="147"/>
      <c r="WO66" s="147"/>
      <c r="WP66" s="147"/>
      <c r="WQ66" s="147"/>
      <c r="WR66" s="147"/>
      <c r="WS66" s="147"/>
      <c r="WT66" s="147"/>
      <c r="WU66" s="147"/>
      <c r="WV66" s="147"/>
      <c r="WW66" s="147"/>
      <c r="WX66" s="147"/>
      <c r="WY66" s="147"/>
      <c r="WZ66" s="147"/>
      <c r="XA66" s="147"/>
      <c r="XB66" s="147"/>
      <c r="XC66" s="147"/>
      <c r="XD66" s="147"/>
      <c r="XE66" s="147"/>
      <c r="XF66" s="147"/>
      <c r="XG66" s="147"/>
      <c r="XH66" s="147"/>
      <c r="XI66" s="147"/>
      <c r="XJ66" s="147"/>
      <c r="XK66" s="147"/>
      <c r="XL66" s="147"/>
      <c r="XM66" s="147"/>
      <c r="XN66" s="147"/>
      <c r="XO66" s="147"/>
      <c r="XP66" s="147"/>
      <c r="XQ66" s="147"/>
      <c r="XR66" s="147"/>
      <c r="XS66" s="147"/>
      <c r="XT66" s="147"/>
      <c r="XU66" s="147"/>
      <c r="XV66" s="147"/>
      <c r="XW66" s="147"/>
      <c r="XX66" s="147"/>
      <c r="XY66" s="147"/>
      <c r="XZ66" s="147"/>
      <c r="YA66" s="147"/>
      <c r="YB66" s="147"/>
      <c r="YC66" s="147"/>
      <c r="YD66" s="147"/>
      <c r="YE66" s="147"/>
      <c r="YF66" s="147"/>
      <c r="YG66" s="147"/>
      <c r="YH66" s="147"/>
      <c r="YI66" s="147"/>
      <c r="YJ66" s="147"/>
      <c r="YK66" s="147"/>
      <c r="YL66" s="147"/>
      <c r="YM66" s="147"/>
      <c r="YN66" s="147"/>
      <c r="YO66" s="147"/>
      <c r="YP66" s="147"/>
      <c r="YQ66" s="147"/>
      <c r="YR66" s="147"/>
      <c r="YS66" s="147"/>
      <c r="YT66" s="147"/>
      <c r="YU66" s="147"/>
      <c r="YV66" s="147"/>
      <c r="YW66" s="147"/>
      <c r="YX66" s="147"/>
    </row>
    <row r="67" spans="1:674" s="147" customFormat="1" ht="23.1" customHeight="1">
      <c r="A67" s="147">
        <v>47</v>
      </c>
      <c r="B67" s="176" t="s">
        <v>591</v>
      </c>
      <c r="C67" s="166" t="s">
        <v>161</v>
      </c>
      <c r="D67" s="153"/>
      <c r="E67" s="154"/>
      <c r="F67" s="165" t="s">
        <v>592</v>
      </c>
      <c r="G67" s="156" t="s">
        <v>593</v>
      </c>
      <c r="H67" s="154"/>
      <c r="I67" s="156" t="s">
        <v>594</v>
      </c>
      <c r="J67" s="157" t="s">
        <v>442</v>
      </c>
      <c r="K67" s="159"/>
      <c r="L67" s="159" t="s">
        <v>595</v>
      </c>
      <c r="M67" s="156"/>
      <c r="N67" s="236" t="s">
        <v>596</v>
      </c>
      <c r="O67" s="237"/>
      <c r="P67" s="238"/>
      <c r="Q67" s="238"/>
      <c r="R67" s="238"/>
      <c r="S67" s="238"/>
      <c r="T67" s="238"/>
      <c r="U67" s="238"/>
      <c r="V67" s="238"/>
      <c r="W67" s="238"/>
      <c r="X67" s="238"/>
      <c r="Y67" s="238"/>
      <c r="Z67" s="238"/>
      <c r="AA67" s="238"/>
      <c r="AB67" s="238"/>
      <c r="AC67" s="238"/>
      <c r="AD67" s="238"/>
      <c r="AE67" s="238"/>
      <c r="AF67" s="238"/>
      <c r="AG67" s="238"/>
      <c r="AH67" s="238"/>
      <c r="AI67" s="238"/>
      <c r="AJ67" s="238"/>
      <c r="AK67" s="238"/>
      <c r="AL67" s="238"/>
      <c r="AM67" s="238"/>
      <c r="AN67" s="238"/>
      <c r="AO67" s="238"/>
      <c r="AP67" s="238"/>
      <c r="AQ67" s="238"/>
      <c r="AR67" s="238"/>
      <c r="AS67" s="238"/>
      <c r="AT67" s="238"/>
      <c r="AU67" s="238"/>
      <c r="AV67" s="238"/>
      <c r="AW67" s="238"/>
      <c r="AX67" s="238"/>
      <c r="AY67" s="238"/>
      <c r="AZ67" s="238"/>
      <c r="BA67" s="238"/>
      <c r="BB67" s="238"/>
      <c r="BC67" s="238"/>
      <c r="BD67" s="238"/>
      <c r="BE67" s="238"/>
      <c r="BF67" s="238"/>
      <c r="BG67" s="238"/>
      <c r="BH67" s="238"/>
      <c r="BI67" s="238"/>
      <c r="BJ67" s="238"/>
      <c r="BK67" s="238"/>
      <c r="BL67" s="238"/>
      <c r="BM67" s="238"/>
      <c r="BN67" s="238"/>
      <c r="BO67" s="238"/>
      <c r="BP67" s="238"/>
      <c r="BQ67" s="238"/>
      <c r="BR67" s="238"/>
      <c r="BS67" s="238"/>
      <c r="BT67" s="238"/>
      <c r="BU67" s="238"/>
      <c r="BV67" s="238"/>
      <c r="BW67" s="238"/>
      <c r="BX67" s="238"/>
      <c r="BY67" s="238"/>
      <c r="BZ67" s="238"/>
      <c r="CA67" s="238"/>
      <c r="CB67" s="238"/>
      <c r="CC67" s="238"/>
      <c r="CD67" s="238"/>
      <c r="CE67" s="238"/>
      <c r="CF67" s="238"/>
      <c r="CG67" s="238"/>
      <c r="CH67" s="238"/>
      <c r="CI67" s="238"/>
      <c r="CJ67" s="238"/>
      <c r="CK67" s="238"/>
      <c r="CL67" s="238"/>
      <c r="CM67" s="238"/>
      <c r="CN67" s="238"/>
      <c r="CO67" s="238"/>
      <c r="CP67" s="238"/>
      <c r="CQ67" s="238"/>
      <c r="CR67" s="238"/>
      <c r="CS67" s="238"/>
      <c r="CT67" s="238"/>
      <c r="CU67" s="238"/>
      <c r="CV67" s="238"/>
      <c r="CW67" s="238"/>
      <c r="CX67" s="238"/>
      <c r="CY67" s="238"/>
      <c r="CZ67" s="238"/>
      <c r="DA67" s="238"/>
      <c r="DB67" s="238"/>
      <c r="DC67" s="238"/>
      <c r="DD67" s="238"/>
      <c r="DE67" s="238"/>
      <c r="DF67" s="238"/>
      <c r="DG67" s="238"/>
      <c r="DH67" s="238"/>
      <c r="DI67" s="238"/>
      <c r="DJ67" s="238"/>
      <c r="DK67" s="238"/>
      <c r="DL67" s="238"/>
      <c r="DM67" s="238"/>
      <c r="DN67" s="238"/>
      <c r="DO67" s="238"/>
      <c r="DP67" s="238"/>
      <c r="DQ67" s="238"/>
      <c r="DR67" s="238"/>
      <c r="DS67" s="238"/>
      <c r="DT67" s="238"/>
      <c r="DU67" s="238"/>
      <c r="DV67" s="238"/>
      <c r="DW67" s="238"/>
      <c r="DX67" s="238"/>
      <c r="DY67" s="238"/>
      <c r="DZ67" s="238"/>
      <c r="EA67" s="238"/>
      <c r="EB67" s="238"/>
      <c r="EC67" s="238"/>
      <c r="ED67" s="238"/>
      <c r="EE67" s="238"/>
      <c r="EF67" s="238"/>
      <c r="EG67" s="238"/>
      <c r="EH67" s="238"/>
      <c r="EI67" s="238"/>
      <c r="EJ67" s="238"/>
      <c r="EK67" s="238"/>
      <c r="EL67" s="238"/>
      <c r="EM67" s="238"/>
      <c r="EN67" s="238"/>
      <c r="EO67" s="238"/>
      <c r="EP67" s="238"/>
      <c r="EQ67" s="238"/>
      <c r="ER67" s="238"/>
      <c r="ES67" s="238"/>
      <c r="ET67" s="238"/>
      <c r="EU67" s="238"/>
      <c r="EV67" s="238"/>
      <c r="EW67" s="238"/>
      <c r="EX67" s="238"/>
      <c r="EY67" s="238"/>
      <c r="EZ67" s="238"/>
      <c r="FA67" s="238"/>
      <c r="FB67" s="238"/>
      <c r="FC67" s="238"/>
      <c r="FD67" s="238"/>
      <c r="FE67" s="238"/>
      <c r="FF67" s="238"/>
      <c r="FG67" s="238"/>
      <c r="FH67" s="238"/>
      <c r="FI67" s="238"/>
      <c r="FJ67" s="238"/>
      <c r="FK67" s="238"/>
      <c r="FL67" s="238"/>
      <c r="FM67" s="238"/>
      <c r="FN67" s="238"/>
      <c r="FO67" s="238"/>
      <c r="FP67" s="238"/>
      <c r="FQ67" s="238"/>
      <c r="FR67" s="238"/>
      <c r="FS67" s="238"/>
      <c r="FT67" s="238"/>
      <c r="FU67" s="238"/>
      <c r="FV67" s="238"/>
      <c r="FW67" s="238"/>
      <c r="FX67" s="238"/>
      <c r="FY67" s="238"/>
      <c r="FZ67" s="238"/>
      <c r="GA67" s="238"/>
      <c r="GB67" s="238"/>
      <c r="GC67" s="238"/>
      <c r="GD67" s="238"/>
      <c r="GE67" s="238"/>
      <c r="GF67" s="238"/>
      <c r="GG67" s="238"/>
      <c r="GH67" s="238"/>
      <c r="GI67" s="238"/>
      <c r="GJ67" s="238"/>
      <c r="GK67" s="238"/>
      <c r="GL67" s="238"/>
      <c r="GM67" s="238"/>
      <c r="GN67" s="238"/>
      <c r="GO67" s="238"/>
      <c r="GP67" s="238"/>
      <c r="GQ67" s="238"/>
      <c r="GR67" s="238"/>
      <c r="GS67" s="238"/>
      <c r="GT67" s="238"/>
      <c r="GU67" s="238"/>
      <c r="GV67" s="238"/>
      <c r="GW67" s="238"/>
      <c r="GX67" s="238"/>
      <c r="GY67" s="238"/>
      <c r="GZ67" s="238"/>
      <c r="HA67" s="238"/>
      <c r="HB67" s="238"/>
      <c r="HC67" s="238"/>
      <c r="HD67" s="238"/>
      <c r="HE67" s="238"/>
      <c r="HF67" s="238"/>
      <c r="HG67" s="238"/>
      <c r="HH67" s="238"/>
      <c r="HI67" s="238"/>
      <c r="HJ67" s="238"/>
      <c r="HK67" s="238"/>
      <c r="HL67" s="238"/>
      <c r="HM67" s="238"/>
      <c r="HN67" s="238"/>
      <c r="HO67" s="238"/>
      <c r="HP67" s="238"/>
      <c r="HQ67" s="238"/>
      <c r="HR67" s="238"/>
      <c r="HS67" s="238"/>
      <c r="HT67" s="238"/>
      <c r="HU67" s="238"/>
      <c r="HV67" s="238"/>
      <c r="HW67" s="238"/>
      <c r="HX67" s="238"/>
      <c r="HY67" s="238"/>
      <c r="HZ67" s="238"/>
      <c r="IA67" s="238"/>
      <c r="IB67" s="238"/>
      <c r="IC67" s="238"/>
      <c r="ID67" s="238"/>
      <c r="IE67" s="238"/>
      <c r="IF67" s="238"/>
      <c r="IG67" s="238"/>
      <c r="IH67" s="238"/>
      <c r="II67" s="238"/>
      <c r="IJ67" s="238"/>
      <c r="IK67" s="238"/>
      <c r="IL67" s="238"/>
      <c r="IM67" s="238"/>
      <c r="IN67" s="238"/>
      <c r="IO67" s="238"/>
      <c r="IP67" s="238"/>
      <c r="IQ67" s="238"/>
      <c r="IR67" s="238"/>
      <c r="IS67" s="238"/>
      <c r="IT67" s="238"/>
      <c r="IU67" s="238"/>
      <c r="IV67" s="238"/>
      <c r="IW67" s="238"/>
      <c r="IX67" s="238"/>
      <c r="IY67" s="238"/>
      <c r="IZ67" s="238"/>
      <c r="JA67" s="238"/>
      <c r="JB67" s="238"/>
      <c r="JC67" s="238"/>
      <c r="JD67" s="238"/>
      <c r="JE67" s="238"/>
      <c r="JF67" s="238"/>
      <c r="JG67" s="238"/>
      <c r="JH67" s="238"/>
      <c r="JI67" s="238"/>
      <c r="JJ67" s="238"/>
      <c r="JK67" s="238"/>
      <c r="JL67" s="238"/>
      <c r="JM67" s="238"/>
      <c r="JN67" s="238"/>
      <c r="JO67" s="238"/>
      <c r="JP67" s="238"/>
      <c r="JQ67" s="238"/>
      <c r="JR67" s="238"/>
      <c r="JS67" s="238"/>
      <c r="JT67" s="238"/>
      <c r="JU67" s="238"/>
      <c r="JV67" s="238"/>
      <c r="JW67" s="238"/>
      <c r="JX67" s="238"/>
      <c r="JY67" s="238"/>
      <c r="JZ67" s="238"/>
      <c r="KA67" s="238"/>
      <c r="KB67" s="238"/>
      <c r="KC67" s="238"/>
      <c r="KD67" s="238"/>
      <c r="KE67" s="238"/>
      <c r="KF67" s="238"/>
      <c r="KG67" s="238"/>
      <c r="KH67" s="238"/>
      <c r="KI67" s="238"/>
      <c r="KJ67" s="238"/>
      <c r="KK67" s="238"/>
      <c r="KL67" s="238"/>
      <c r="KM67" s="238"/>
      <c r="KN67" s="238"/>
      <c r="KO67" s="238"/>
      <c r="KP67" s="238"/>
      <c r="KQ67" s="238"/>
      <c r="KR67" s="238"/>
      <c r="KS67" s="238"/>
      <c r="KT67" s="238"/>
      <c r="KU67" s="238"/>
      <c r="KV67" s="238"/>
      <c r="KW67" s="238"/>
      <c r="KX67" s="238"/>
      <c r="KY67" s="238"/>
      <c r="KZ67" s="238"/>
      <c r="LA67" s="238"/>
      <c r="LB67" s="238"/>
      <c r="LC67" s="238"/>
      <c r="LD67" s="238"/>
      <c r="LE67" s="238"/>
      <c r="LF67" s="238"/>
      <c r="LG67" s="238"/>
      <c r="LH67" s="238"/>
      <c r="LI67" s="238"/>
      <c r="LJ67" s="238"/>
      <c r="LK67" s="238"/>
      <c r="LL67" s="238"/>
      <c r="LM67" s="238"/>
      <c r="LN67" s="238"/>
      <c r="LO67" s="238"/>
      <c r="LP67" s="238"/>
      <c r="LQ67" s="238"/>
      <c r="LR67" s="238"/>
      <c r="LS67" s="238"/>
      <c r="LT67" s="238"/>
      <c r="LU67" s="238"/>
      <c r="LV67" s="238"/>
      <c r="LW67" s="238"/>
      <c r="LX67" s="238"/>
      <c r="LY67" s="238"/>
      <c r="LZ67" s="238"/>
      <c r="MA67" s="238"/>
      <c r="MB67" s="238"/>
      <c r="MC67" s="238"/>
      <c r="MD67" s="238"/>
      <c r="ME67" s="238"/>
      <c r="MF67" s="238"/>
      <c r="MG67" s="238"/>
      <c r="MH67" s="238"/>
      <c r="MI67" s="238"/>
      <c r="MJ67" s="238"/>
      <c r="MK67" s="238"/>
      <c r="ML67" s="238"/>
      <c r="MM67" s="238"/>
      <c r="MN67" s="238"/>
      <c r="MO67" s="238"/>
      <c r="MP67" s="238"/>
      <c r="MQ67" s="238"/>
      <c r="MR67" s="238"/>
      <c r="MS67" s="238"/>
      <c r="MT67" s="238"/>
      <c r="MU67" s="238"/>
      <c r="MV67" s="238"/>
      <c r="MW67" s="238"/>
      <c r="MX67" s="238"/>
      <c r="MY67" s="238"/>
      <c r="MZ67" s="238"/>
      <c r="NA67" s="238"/>
      <c r="NB67" s="238"/>
      <c r="NC67" s="238"/>
      <c r="ND67" s="238"/>
      <c r="NE67" s="238"/>
      <c r="NF67" s="238"/>
      <c r="NG67" s="238"/>
      <c r="NH67" s="238"/>
      <c r="NI67" s="238"/>
      <c r="NJ67" s="238"/>
      <c r="NK67" s="238"/>
      <c r="NL67" s="238"/>
      <c r="NM67" s="238"/>
      <c r="NN67" s="238"/>
      <c r="NO67" s="238"/>
      <c r="NP67" s="238"/>
      <c r="NQ67" s="238"/>
      <c r="NR67" s="238"/>
      <c r="NS67" s="238"/>
      <c r="NT67" s="238"/>
      <c r="NU67" s="238"/>
      <c r="NV67" s="238"/>
      <c r="NW67" s="238"/>
      <c r="NX67" s="238"/>
      <c r="NY67" s="238"/>
      <c r="NZ67" s="238"/>
      <c r="OA67" s="238"/>
      <c r="OB67" s="238"/>
      <c r="OC67" s="238"/>
      <c r="OD67" s="238"/>
      <c r="OE67" s="238"/>
      <c r="OF67" s="238"/>
      <c r="OG67" s="238"/>
      <c r="OH67" s="238"/>
      <c r="OI67" s="238"/>
      <c r="OJ67" s="238"/>
      <c r="OK67" s="238"/>
      <c r="OL67" s="238"/>
      <c r="OM67" s="238"/>
      <c r="ON67" s="238"/>
      <c r="OO67" s="238"/>
      <c r="OP67" s="238"/>
      <c r="OQ67" s="238"/>
      <c r="OR67" s="238"/>
      <c r="OS67" s="238"/>
      <c r="OT67" s="238"/>
      <c r="OU67" s="238"/>
      <c r="OV67" s="238"/>
      <c r="OW67" s="238"/>
      <c r="OX67" s="238"/>
      <c r="OY67" s="238"/>
      <c r="OZ67" s="238"/>
      <c r="PA67" s="238"/>
      <c r="PB67" s="238"/>
      <c r="PC67" s="238"/>
      <c r="PD67" s="238"/>
      <c r="PE67" s="238"/>
      <c r="PF67" s="238"/>
      <c r="PG67" s="238"/>
      <c r="PH67" s="238"/>
      <c r="PI67" s="238"/>
      <c r="PJ67" s="238"/>
      <c r="PK67" s="238"/>
      <c r="PL67" s="238"/>
      <c r="PM67" s="238"/>
      <c r="PN67" s="238"/>
      <c r="PO67" s="238"/>
      <c r="PP67" s="238"/>
      <c r="PQ67" s="238"/>
      <c r="PR67" s="238"/>
      <c r="PS67" s="238"/>
      <c r="PT67" s="238"/>
      <c r="PU67" s="238"/>
      <c r="PV67" s="238"/>
      <c r="PW67" s="238"/>
      <c r="PX67" s="238"/>
      <c r="PY67" s="238"/>
      <c r="PZ67" s="238"/>
      <c r="QA67" s="238"/>
      <c r="QB67" s="238"/>
      <c r="QC67" s="238"/>
      <c r="QD67" s="238"/>
      <c r="QE67" s="238"/>
      <c r="QF67" s="238"/>
      <c r="QG67" s="238"/>
      <c r="QH67" s="238"/>
      <c r="QI67" s="238"/>
      <c r="QJ67" s="238"/>
      <c r="QK67" s="238"/>
      <c r="QL67" s="238"/>
      <c r="QM67" s="238"/>
      <c r="QN67" s="238"/>
      <c r="QO67" s="238"/>
      <c r="QP67" s="238"/>
      <c r="QQ67" s="238"/>
      <c r="QR67" s="238"/>
      <c r="QS67" s="238"/>
      <c r="QT67" s="238"/>
      <c r="QU67" s="238"/>
      <c r="QV67" s="238"/>
      <c r="QW67" s="238"/>
      <c r="QX67" s="238"/>
      <c r="QY67" s="238"/>
      <c r="QZ67" s="238"/>
      <c r="RA67" s="238"/>
      <c r="RB67" s="238"/>
      <c r="RC67" s="238"/>
      <c r="RD67" s="238"/>
      <c r="RE67" s="238"/>
      <c r="RF67" s="238"/>
      <c r="RG67" s="238"/>
      <c r="RH67" s="238"/>
      <c r="RI67" s="238"/>
      <c r="RJ67" s="238"/>
      <c r="RK67" s="238"/>
      <c r="RL67" s="238"/>
      <c r="RM67" s="238"/>
      <c r="RN67" s="238"/>
      <c r="RO67" s="238"/>
      <c r="RP67" s="238"/>
      <c r="RQ67" s="238"/>
      <c r="RR67" s="238"/>
      <c r="RS67" s="238"/>
      <c r="RT67" s="238"/>
      <c r="RU67" s="238"/>
      <c r="RV67" s="238"/>
      <c r="RW67" s="238"/>
      <c r="RX67" s="238"/>
      <c r="RY67" s="238"/>
      <c r="RZ67" s="238"/>
      <c r="SA67" s="238"/>
      <c r="SB67" s="238"/>
      <c r="SC67" s="238"/>
      <c r="SD67" s="238"/>
      <c r="SE67" s="238"/>
      <c r="SF67" s="238"/>
      <c r="SG67" s="238"/>
      <c r="SH67" s="238"/>
      <c r="SI67" s="238"/>
      <c r="SJ67" s="238"/>
      <c r="SK67" s="238"/>
      <c r="SL67" s="238"/>
      <c r="SM67" s="238"/>
      <c r="SN67" s="238"/>
      <c r="SO67" s="238"/>
      <c r="SP67" s="238"/>
      <c r="SQ67" s="238"/>
      <c r="SR67" s="238"/>
      <c r="SS67" s="238"/>
      <c r="ST67" s="238"/>
      <c r="SU67" s="238"/>
      <c r="SV67" s="238"/>
      <c r="SW67" s="238"/>
      <c r="SX67" s="238"/>
      <c r="SY67" s="238"/>
      <c r="SZ67" s="238"/>
      <c r="TA67" s="238"/>
      <c r="TB67" s="238"/>
      <c r="TC67" s="238"/>
      <c r="TD67" s="238"/>
      <c r="TE67" s="238"/>
      <c r="TF67" s="238"/>
      <c r="TG67" s="238"/>
      <c r="TH67" s="238"/>
      <c r="TI67" s="238"/>
      <c r="TJ67" s="238"/>
      <c r="TK67" s="238"/>
      <c r="TL67" s="238"/>
      <c r="TM67" s="238"/>
      <c r="TN67" s="238"/>
      <c r="TO67" s="238"/>
      <c r="TP67" s="238"/>
      <c r="TQ67" s="238"/>
      <c r="TR67" s="238"/>
      <c r="TS67" s="238"/>
      <c r="TT67" s="238"/>
      <c r="TU67" s="238"/>
      <c r="TV67" s="238"/>
      <c r="TW67" s="238"/>
      <c r="TX67" s="238"/>
      <c r="TY67" s="238"/>
      <c r="TZ67" s="238"/>
      <c r="UA67" s="238"/>
      <c r="UB67" s="238"/>
      <c r="UC67" s="238"/>
      <c r="UD67" s="238"/>
      <c r="UE67" s="238"/>
      <c r="UF67" s="238"/>
      <c r="UG67" s="238"/>
      <c r="UH67" s="238"/>
      <c r="UI67" s="238"/>
      <c r="UJ67" s="238"/>
      <c r="UK67" s="238"/>
      <c r="UL67" s="238"/>
      <c r="UM67" s="238"/>
      <c r="UN67" s="238"/>
      <c r="UO67" s="238"/>
      <c r="UP67" s="238"/>
      <c r="UQ67" s="238"/>
      <c r="UR67" s="238"/>
      <c r="US67" s="238"/>
      <c r="UT67" s="238"/>
      <c r="UU67" s="238"/>
      <c r="UV67" s="238"/>
      <c r="UW67" s="238"/>
      <c r="UX67" s="238"/>
      <c r="UY67" s="238"/>
      <c r="UZ67" s="238"/>
      <c r="VA67" s="238"/>
      <c r="VB67" s="238"/>
      <c r="VC67" s="238"/>
      <c r="VD67" s="238"/>
      <c r="VE67" s="238"/>
      <c r="VF67" s="238"/>
      <c r="VG67" s="238"/>
      <c r="VH67" s="238"/>
      <c r="VI67" s="238"/>
      <c r="VJ67" s="238"/>
      <c r="VK67" s="238"/>
      <c r="VL67" s="238"/>
      <c r="VM67" s="238"/>
      <c r="VN67" s="238"/>
      <c r="VO67" s="238"/>
      <c r="VP67" s="238"/>
      <c r="VQ67" s="238"/>
      <c r="VR67" s="238"/>
      <c r="VS67" s="238"/>
      <c r="VT67" s="238"/>
      <c r="VU67" s="238"/>
      <c r="VV67" s="238"/>
      <c r="VW67" s="238"/>
      <c r="VX67" s="238"/>
      <c r="VY67" s="238"/>
      <c r="VZ67" s="238"/>
      <c r="WA67" s="238"/>
      <c r="WB67" s="238"/>
      <c r="WC67" s="238"/>
      <c r="WD67" s="238"/>
      <c r="WE67" s="238"/>
      <c r="WF67" s="238"/>
      <c r="WG67" s="238"/>
      <c r="WH67" s="238"/>
      <c r="WI67" s="238"/>
      <c r="WJ67" s="238"/>
      <c r="WK67" s="238"/>
      <c r="WL67" s="238"/>
      <c r="WM67" s="238"/>
      <c r="WN67" s="238"/>
      <c r="WO67" s="238"/>
      <c r="WP67" s="238"/>
      <c r="WQ67" s="238"/>
      <c r="WR67" s="238"/>
      <c r="WS67" s="238"/>
      <c r="WT67" s="238"/>
      <c r="WU67" s="238"/>
      <c r="WV67" s="238"/>
      <c r="WW67" s="238"/>
      <c r="WX67" s="238"/>
      <c r="WY67" s="238"/>
      <c r="WZ67" s="238"/>
      <c r="XA67" s="238"/>
      <c r="XB67" s="238"/>
      <c r="XC67" s="238"/>
      <c r="XD67" s="238"/>
      <c r="XE67" s="238"/>
      <c r="XF67" s="238"/>
      <c r="XG67" s="238"/>
      <c r="XH67" s="238"/>
      <c r="XI67" s="238"/>
      <c r="XJ67" s="238"/>
      <c r="XK67" s="238"/>
      <c r="XL67" s="238"/>
      <c r="XM67" s="238"/>
      <c r="XN67" s="238"/>
      <c r="XO67" s="238"/>
      <c r="XP67" s="238"/>
      <c r="XQ67" s="238"/>
      <c r="XR67" s="238"/>
      <c r="XS67" s="238"/>
      <c r="XT67" s="238"/>
      <c r="XU67" s="238"/>
      <c r="XV67" s="238"/>
      <c r="XW67" s="238"/>
      <c r="XX67" s="238"/>
      <c r="XY67" s="238"/>
      <c r="XZ67" s="238"/>
      <c r="YA67" s="238"/>
      <c r="YB67" s="238"/>
      <c r="YC67" s="238"/>
      <c r="YD67" s="238"/>
      <c r="YE67" s="238"/>
      <c r="YF67" s="238"/>
      <c r="YG67" s="238"/>
      <c r="YH67" s="238"/>
      <c r="YI67" s="238"/>
      <c r="YJ67" s="238"/>
      <c r="YK67" s="238"/>
      <c r="YL67" s="238"/>
      <c r="YM67" s="238"/>
      <c r="YN67" s="238"/>
      <c r="YO67" s="238"/>
      <c r="YP67" s="238"/>
      <c r="YQ67" s="238"/>
      <c r="YR67" s="238"/>
      <c r="YS67" s="238"/>
      <c r="YT67" s="238"/>
      <c r="YU67" s="238"/>
      <c r="YV67" s="238"/>
      <c r="YW67" s="238"/>
      <c r="YX67" s="238"/>
    </row>
    <row r="68" spans="1:674" s="238" customFormat="1" ht="23.1" customHeight="1">
      <c r="A68" s="156">
        <v>49</v>
      </c>
      <c r="B68" s="176" t="s">
        <v>597</v>
      </c>
      <c r="C68" s="166" t="s">
        <v>467</v>
      </c>
      <c r="D68" s="153"/>
      <c r="E68" s="154"/>
      <c r="F68" s="165"/>
      <c r="G68" s="156" t="s">
        <v>593</v>
      </c>
      <c r="H68" s="154"/>
      <c r="I68" s="156" t="s">
        <v>598</v>
      </c>
      <c r="J68" s="157" t="s">
        <v>8</v>
      </c>
      <c r="K68" s="159"/>
      <c r="L68" s="159" t="s">
        <v>599</v>
      </c>
      <c r="M68" s="156"/>
      <c r="N68" s="236"/>
      <c r="O68" s="237"/>
    </row>
    <row r="69" spans="1:674" s="238" customFormat="1" ht="23.1" customHeight="1">
      <c r="A69" s="156"/>
      <c r="B69" s="176" t="s">
        <v>600</v>
      </c>
      <c r="C69" s="166" t="s">
        <v>467</v>
      </c>
      <c r="D69" s="153"/>
      <c r="E69" s="154"/>
      <c r="F69" s="165"/>
      <c r="G69" s="156" t="s">
        <v>593</v>
      </c>
      <c r="H69" s="154"/>
      <c r="I69" s="156" t="s">
        <v>601</v>
      </c>
      <c r="J69" s="157" t="s">
        <v>442</v>
      </c>
      <c r="K69" s="159"/>
      <c r="L69" s="159" t="s">
        <v>602</v>
      </c>
      <c r="M69" s="156"/>
      <c r="N69" s="236"/>
      <c r="O69" s="237"/>
    </row>
    <row r="70" spans="1:674" s="238" customFormat="1" ht="23.1" customHeight="1">
      <c r="A70" s="156">
        <v>49</v>
      </c>
      <c r="B70" s="176" t="s">
        <v>603</v>
      </c>
      <c r="C70" s="156" t="s">
        <v>467</v>
      </c>
      <c r="D70" s="156"/>
      <c r="E70" s="153"/>
      <c r="F70" s="165"/>
      <c r="G70" s="156" t="s">
        <v>593</v>
      </c>
      <c r="H70" s="153"/>
      <c r="I70" s="156" t="s">
        <v>604</v>
      </c>
      <c r="J70" s="157" t="s">
        <v>8</v>
      </c>
      <c r="K70" s="176"/>
      <c r="L70" s="159"/>
      <c r="M70" s="156"/>
      <c r="N70" s="178"/>
      <c r="O70" s="237"/>
    </row>
    <row r="71" spans="1:674" s="147" customFormat="1" ht="23.1" customHeight="1">
      <c r="A71" s="147">
        <v>50</v>
      </c>
      <c r="B71" s="176" t="s">
        <v>605</v>
      </c>
      <c r="C71" s="156" t="s">
        <v>467</v>
      </c>
      <c r="D71" s="156"/>
      <c r="E71" s="153"/>
      <c r="F71" s="165"/>
      <c r="G71" s="156" t="s">
        <v>593</v>
      </c>
      <c r="H71" s="153"/>
      <c r="I71" s="156" t="s">
        <v>606</v>
      </c>
      <c r="J71" s="157" t="s">
        <v>8</v>
      </c>
      <c r="K71" s="176"/>
      <c r="L71" s="159"/>
      <c r="M71" s="156"/>
      <c r="N71" s="178"/>
      <c r="O71" s="237"/>
      <c r="P71" s="238"/>
      <c r="Q71" s="238"/>
      <c r="R71" s="238"/>
      <c r="S71" s="238"/>
      <c r="T71" s="238"/>
      <c r="U71" s="238"/>
      <c r="V71" s="238"/>
      <c r="W71" s="238"/>
      <c r="X71" s="238"/>
      <c r="Y71" s="238"/>
      <c r="Z71" s="238"/>
      <c r="AA71" s="238"/>
      <c r="AB71" s="238"/>
      <c r="AC71" s="238"/>
      <c r="AD71" s="238"/>
      <c r="AE71" s="238"/>
      <c r="AF71" s="238"/>
      <c r="AG71" s="238"/>
      <c r="AH71" s="238"/>
      <c r="AI71" s="238"/>
      <c r="AJ71" s="238"/>
      <c r="AK71" s="238"/>
      <c r="AL71" s="238"/>
      <c r="AM71" s="238"/>
      <c r="AN71" s="238"/>
      <c r="AO71" s="238"/>
      <c r="AP71" s="238"/>
      <c r="AQ71" s="238"/>
      <c r="AR71" s="238"/>
      <c r="AS71" s="238"/>
      <c r="AT71" s="238"/>
      <c r="AU71" s="238"/>
      <c r="AV71" s="238"/>
      <c r="AW71" s="238"/>
      <c r="AX71" s="238"/>
      <c r="AY71" s="238"/>
      <c r="AZ71" s="238"/>
      <c r="BA71" s="238"/>
      <c r="BB71" s="238"/>
      <c r="BC71" s="238"/>
      <c r="BD71" s="238"/>
      <c r="BE71" s="238"/>
      <c r="BF71" s="238"/>
      <c r="BG71" s="238"/>
      <c r="BH71" s="238"/>
      <c r="BI71" s="238"/>
      <c r="BJ71" s="238"/>
      <c r="BK71" s="238"/>
      <c r="BL71" s="238"/>
      <c r="BM71" s="238"/>
      <c r="BN71" s="238"/>
      <c r="BO71" s="238"/>
      <c r="BP71" s="238"/>
      <c r="BQ71" s="238"/>
      <c r="BR71" s="238"/>
      <c r="BS71" s="238"/>
      <c r="BT71" s="238"/>
      <c r="BU71" s="238"/>
      <c r="BV71" s="238"/>
      <c r="BW71" s="238"/>
      <c r="BX71" s="238"/>
      <c r="BY71" s="238"/>
      <c r="BZ71" s="238"/>
      <c r="CA71" s="238"/>
      <c r="CB71" s="238"/>
      <c r="CC71" s="238"/>
      <c r="CD71" s="238"/>
      <c r="CE71" s="238"/>
      <c r="CF71" s="238"/>
      <c r="CG71" s="238"/>
      <c r="CH71" s="238"/>
      <c r="CI71" s="238"/>
      <c r="CJ71" s="238"/>
      <c r="CK71" s="238"/>
      <c r="CL71" s="238"/>
      <c r="CM71" s="238"/>
      <c r="CN71" s="238"/>
      <c r="CO71" s="238"/>
      <c r="CP71" s="238"/>
      <c r="CQ71" s="238"/>
      <c r="CR71" s="238"/>
      <c r="CS71" s="238"/>
      <c r="CT71" s="238"/>
      <c r="CU71" s="238"/>
      <c r="CV71" s="238"/>
      <c r="CW71" s="238"/>
      <c r="CX71" s="238"/>
      <c r="CY71" s="238"/>
      <c r="CZ71" s="238"/>
      <c r="DA71" s="238"/>
      <c r="DB71" s="238"/>
      <c r="DC71" s="238"/>
      <c r="DD71" s="238"/>
      <c r="DE71" s="238"/>
      <c r="DF71" s="238"/>
      <c r="DG71" s="238"/>
      <c r="DH71" s="238"/>
      <c r="DI71" s="238"/>
      <c r="DJ71" s="238"/>
      <c r="DK71" s="238"/>
      <c r="DL71" s="238"/>
      <c r="DM71" s="238"/>
      <c r="DN71" s="238"/>
      <c r="DO71" s="238"/>
      <c r="DP71" s="238"/>
      <c r="DQ71" s="238"/>
      <c r="DR71" s="238"/>
      <c r="DS71" s="238"/>
      <c r="DT71" s="238"/>
      <c r="DU71" s="238"/>
      <c r="DV71" s="238"/>
      <c r="DW71" s="238"/>
      <c r="DX71" s="238"/>
      <c r="DY71" s="238"/>
      <c r="DZ71" s="238"/>
      <c r="EA71" s="238"/>
      <c r="EB71" s="238"/>
      <c r="EC71" s="238"/>
      <c r="ED71" s="238"/>
      <c r="EE71" s="238"/>
      <c r="EF71" s="238"/>
      <c r="EG71" s="238"/>
      <c r="EH71" s="238"/>
      <c r="EI71" s="238"/>
      <c r="EJ71" s="238"/>
      <c r="EK71" s="238"/>
      <c r="EL71" s="238"/>
      <c r="EM71" s="238"/>
      <c r="EN71" s="238"/>
      <c r="EO71" s="238"/>
      <c r="EP71" s="238"/>
      <c r="EQ71" s="238"/>
      <c r="ER71" s="238"/>
      <c r="ES71" s="238"/>
      <c r="ET71" s="238"/>
      <c r="EU71" s="238"/>
      <c r="EV71" s="238"/>
      <c r="EW71" s="238"/>
      <c r="EX71" s="238"/>
      <c r="EY71" s="238"/>
      <c r="EZ71" s="238"/>
      <c r="FA71" s="238"/>
      <c r="FB71" s="238"/>
      <c r="FC71" s="238"/>
      <c r="FD71" s="238"/>
      <c r="FE71" s="238"/>
      <c r="FF71" s="238"/>
      <c r="FG71" s="238"/>
      <c r="FH71" s="238"/>
      <c r="FI71" s="238"/>
      <c r="FJ71" s="238"/>
      <c r="FK71" s="238"/>
      <c r="FL71" s="238"/>
      <c r="FM71" s="238"/>
      <c r="FN71" s="238"/>
      <c r="FO71" s="238"/>
      <c r="FP71" s="238"/>
      <c r="FQ71" s="238"/>
      <c r="FR71" s="238"/>
      <c r="FS71" s="238"/>
      <c r="FT71" s="238"/>
      <c r="FU71" s="238"/>
      <c r="FV71" s="238"/>
      <c r="FW71" s="238"/>
      <c r="FX71" s="238"/>
      <c r="FY71" s="238"/>
      <c r="FZ71" s="238"/>
      <c r="GA71" s="238"/>
      <c r="GB71" s="238"/>
      <c r="GC71" s="238"/>
      <c r="GD71" s="238"/>
      <c r="GE71" s="238"/>
      <c r="GF71" s="238"/>
      <c r="GG71" s="238"/>
      <c r="GH71" s="238"/>
      <c r="GI71" s="238"/>
      <c r="GJ71" s="238"/>
      <c r="GK71" s="238"/>
      <c r="GL71" s="238"/>
      <c r="GM71" s="238"/>
      <c r="GN71" s="238"/>
      <c r="GO71" s="238"/>
      <c r="GP71" s="238"/>
      <c r="GQ71" s="238"/>
      <c r="GR71" s="238"/>
      <c r="GS71" s="238"/>
      <c r="GT71" s="238"/>
      <c r="GU71" s="238"/>
      <c r="GV71" s="238"/>
      <c r="GW71" s="238"/>
      <c r="GX71" s="238"/>
      <c r="GY71" s="238"/>
      <c r="GZ71" s="238"/>
      <c r="HA71" s="238"/>
      <c r="HB71" s="238"/>
      <c r="HC71" s="238"/>
      <c r="HD71" s="238"/>
      <c r="HE71" s="238"/>
      <c r="HF71" s="238"/>
      <c r="HG71" s="238"/>
      <c r="HH71" s="238"/>
      <c r="HI71" s="238"/>
      <c r="HJ71" s="238"/>
      <c r="HK71" s="238"/>
      <c r="HL71" s="238"/>
      <c r="HM71" s="238"/>
      <c r="HN71" s="238"/>
      <c r="HO71" s="238"/>
      <c r="HP71" s="238"/>
      <c r="HQ71" s="238"/>
      <c r="HR71" s="238"/>
      <c r="HS71" s="238"/>
      <c r="HT71" s="238"/>
      <c r="HU71" s="238"/>
      <c r="HV71" s="238"/>
      <c r="HW71" s="238"/>
      <c r="HX71" s="238"/>
      <c r="HY71" s="238"/>
      <c r="HZ71" s="238"/>
      <c r="IA71" s="238"/>
      <c r="IB71" s="238"/>
      <c r="IC71" s="238"/>
      <c r="ID71" s="238"/>
      <c r="IE71" s="238"/>
      <c r="IF71" s="238"/>
      <c r="IG71" s="238"/>
      <c r="IH71" s="238"/>
      <c r="II71" s="238"/>
      <c r="IJ71" s="238"/>
      <c r="IK71" s="238"/>
      <c r="IL71" s="238"/>
      <c r="IM71" s="238"/>
      <c r="IN71" s="238"/>
      <c r="IO71" s="238"/>
      <c r="IP71" s="238"/>
      <c r="IQ71" s="238"/>
      <c r="IR71" s="238"/>
      <c r="IS71" s="238"/>
      <c r="IT71" s="238"/>
      <c r="IU71" s="238"/>
      <c r="IV71" s="238"/>
      <c r="IW71" s="238"/>
      <c r="IX71" s="238"/>
      <c r="IY71" s="238"/>
      <c r="IZ71" s="238"/>
      <c r="JA71" s="238"/>
      <c r="JB71" s="238"/>
      <c r="JC71" s="238"/>
      <c r="JD71" s="238"/>
      <c r="JE71" s="238"/>
      <c r="JF71" s="238"/>
      <c r="JG71" s="238"/>
      <c r="JH71" s="238"/>
      <c r="JI71" s="238"/>
      <c r="JJ71" s="238"/>
      <c r="JK71" s="238"/>
      <c r="JL71" s="238"/>
      <c r="JM71" s="238"/>
      <c r="JN71" s="238"/>
      <c r="JO71" s="238"/>
      <c r="JP71" s="238"/>
      <c r="JQ71" s="238"/>
      <c r="JR71" s="238"/>
      <c r="JS71" s="238"/>
      <c r="JT71" s="238"/>
      <c r="JU71" s="238"/>
      <c r="JV71" s="238"/>
      <c r="JW71" s="238"/>
      <c r="JX71" s="238"/>
      <c r="JY71" s="238"/>
      <c r="JZ71" s="238"/>
      <c r="KA71" s="238"/>
      <c r="KB71" s="238"/>
      <c r="KC71" s="238"/>
      <c r="KD71" s="238"/>
      <c r="KE71" s="238"/>
      <c r="KF71" s="238"/>
      <c r="KG71" s="238"/>
      <c r="KH71" s="238"/>
      <c r="KI71" s="238"/>
      <c r="KJ71" s="238"/>
      <c r="KK71" s="238"/>
      <c r="KL71" s="238"/>
      <c r="KM71" s="238"/>
      <c r="KN71" s="238"/>
      <c r="KO71" s="238"/>
      <c r="KP71" s="238"/>
      <c r="KQ71" s="238"/>
      <c r="KR71" s="238"/>
      <c r="KS71" s="238"/>
      <c r="KT71" s="238"/>
      <c r="KU71" s="238"/>
      <c r="KV71" s="238"/>
      <c r="KW71" s="238"/>
      <c r="KX71" s="238"/>
      <c r="KY71" s="238"/>
      <c r="KZ71" s="238"/>
      <c r="LA71" s="238"/>
      <c r="LB71" s="238"/>
      <c r="LC71" s="238"/>
      <c r="LD71" s="238"/>
      <c r="LE71" s="238"/>
      <c r="LF71" s="238"/>
      <c r="LG71" s="238"/>
      <c r="LH71" s="238"/>
      <c r="LI71" s="238"/>
      <c r="LJ71" s="238"/>
      <c r="LK71" s="238"/>
      <c r="LL71" s="238"/>
      <c r="LM71" s="238"/>
      <c r="LN71" s="238"/>
      <c r="LO71" s="238"/>
      <c r="LP71" s="238"/>
      <c r="LQ71" s="238"/>
      <c r="LR71" s="238"/>
      <c r="LS71" s="238"/>
      <c r="LT71" s="238"/>
      <c r="LU71" s="238"/>
      <c r="LV71" s="238"/>
      <c r="LW71" s="238"/>
      <c r="LX71" s="238"/>
      <c r="LY71" s="238"/>
      <c r="LZ71" s="238"/>
      <c r="MA71" s="238"/>
      <c r="MB71" s="238"/>
      <c r="MC71" s="238"/>
      <c r="MD71" s="238"/>
      <c r="ME71" s="238"/>
      <c r="MF71" s="238"/>
      <c r="MG71" s="238"/>
      <c r="MH71" s="238"/>
      <c r="MI71" s="238"/>
      <c r="MJ71" s="238"/>
      <c r="MK71" s="238"/>
      <c r="ML71" s="238"/>
      <c r="MM71" s="238"/>
      <c r="MN71" s="238"/>
      <c r="MO71" s="238"/>
      <c r="MP71" s="238"/>
      <c r="MQ71" s="238"/>
      <c r="MR71" s="238"/>
      <c r="MS71" s="238"/>
      <c r="MT71" s="238"/>
      <c r="MU71" s="238"/>
      <c r="MV71" s="238"/>
      <c r="MW71" s="238"/>
      <c r="MX71" s="238"/>
      <c r="MY71" s="238"/>
      <c r="MZ71" s="238"/>
      <c r="NA71" s="238"/>
      <c r="NB71" s="238"/>
      <c r="NC71" s="238"/>
      <c r="ND71" s="238"/>
      <c r="NE71" s="238"/>
      <c r="NF71" s="238"/>
      <c r="NG71" s="238"/>
      <c r="NH71" s="238"/>
      <c r="NI71" s="238"/>
      <c r="NJ71" s="238"/>
      <c r="NK71" s="238"/>
      <c r="NL71" s="238"/>
      <c r="NM71" s="238"/>
      <c r="NN71" s="238"/>
      <c r="NO71" s="238"/>
      <c r="NP71" s="238"/>
      <c r="NQ71" s="238"/>
      <c r="NR71" s="238"/>
      <c r="NS71" s="238"/>
      <c r="NT71" s="238"/>
      <c r="NU71" s="238"/>
      <c r="NV71" s="238"/>
      <c r="NW71" s="238"/>
      <c r="NX71" s="238"/>
      <c r="NY71" s="238"/>
      <c r="NZ71" s="238"/>
      <c r="OA71" s="238"/>
      <c r="OB71" s="238"/>
      <c r="OC71" s="238"/>
      <c r="OD71" s="238"/>
      <c r="OE71" s="238"/>
      <c r="OF71" s="238"/>
      <c r="OG71" s="238"/>
      <c r="OH71" s="238"/>
      <c r="OI71" s="238"/>
      <c r="OJ71" s="238"/>
      <c r="OK71" s="238"/>
      <c r="OL71" s="238"/>
      <c r="OM71" s="238"/>
      <c r="ON71" s="238"/>
      <c r="OO71" s="238"/>
      <c r="OP71" s="238"/>
      <c r="OQ71" s="238"/>
      <c r="OR71" s="238"/>
      <c r="OS71" s="238"/>
      <c r="OT71" s="238"/>
      <c r="OU71" s="238"/>
      <c r="OV71" s="238"/>
      <c r="OW71" s="238"/>
      <c r="OX71" s="238"/>
      <c r="OY71" s="238"/>
      <c r="OZ71" s="238"/>
      <c r="PA71" s="238"/>
      <c r="PB71" s="238"/>
      <c r="PC71" s="238"/>
      <c r="PD71" s="238"/>
      <c r="PE71" s="238"/>
      <c r="PF71" s="238"/>
      <c r="PG71" s="238"/>
      <c r="PH71" s="238"/>
      <c r="PI71" s="238"/>
      <c r="PJ71" s="238"/>
      <c r="PK71" s="238"/>
      <c r="PL71" s="238"/>
      <c r="PM71" s="238"/>
      <c r="PN71" s="238"/>
      <c r="PO71" s="238"/>
      <c r="PP71" s="238"/>
      <c r="PQ71" s="238"/>
      <c r="PR71" s="238"/>
      <c r="PS71" s="238"/>
      <c r="PT71" s="238"/>
      <c r="PU71" s="238"/>
      <c r="PV71" s="238"/>
      <c r="PW71" s="238"/>
      <c r="PX71" s="238"/>
      <c r="PY71" s="238"/>
      <c r="PZ71" s="238"/>
      <c r="QA71" s="238"/>
      <c r="QB71" s="238"/>
      <c r="QC71" s="238"/>
      <c r="QD71" s="238"/>
      <c r="QE71" s="238"/>
      <c r="QF71" s="238"/>
      <c r="QG71" s="238"/>
      <c r="QH71" s="238"/>
      <c r="QI71" s="238"/>
      <c r="QJ71" s="238"/>
      <c r="QK71" s="238"/>
      <c r="QL71" s="238"/>
      <c r="QM71" s="238"/>
      <c r="QN71" s="238"/>
      <c r="QO71" s="238"/>
      <c r="QP71" s="238"/>
      <c r="QQ71" s="238"/>
      <c r="QR71" s="238"/>
      <c r="QS71" s="238"/>
      <c r="QT71" s="238"/>
      <c r="QU71" s="238"/>
      <c r="QV71" s="238"/>
      <c r="QW71" s="238"/>
      <c r="QX71" s="238"/>
      <c r="QY71" s="238"/>
      <c r="QZ71" s="238"/>
      <c r="RA71" s="238"/>
      <c r="RB71" s="238"/>
      <c r="RC71" s="238"/>
      <c r="RD71" s="238"/>
      <c r="RE71" s="238"/>
      <c r="RF71" s="238"/>
      <c r="RG71" s="238"/>
      <c r="RH71" s="238"/>
      <c r="RI71" s="238"/>
      <c r="RJ71" s="238"/>
      <c r="RK71" s="238"/>
      <c r="RL71" s="238"/>
      <c r="RM71" s="238"/>
      <c r="RN71" s="238"/>
      <c r="RO71" s="238"/>
      <c r="RP71" s="238"/>
      <c r="RQ71" s="238"/>
      <c r="RR71" s="238"/>
      <c r="RS71" s="238"/>
      <c r="RT71" s="238"/>
      <c r="RU71" s="238"/>
      <c r="RV71" s="238"/>
      <c r="RW71" s="238"/>
      <c r="RX71" s="238"/>
      <c r="RY71" s="238"/>
      <c r="RZ71" s="238"/>
      <c r="SA71" s="238"/>
      <c r="SB71" s="238"/>
      <c r="SC71" s="238"/>
      <c r="SD71" s="238"/>
      <c r="SE71" s="238"/>
      <c r="SF71" s="238"/>
      <c r="SG71" s="238"/>
      <c r="SH71" s="238"/>
      <c r="SI71" s="238"/>
      <c r="SJ71" s="238"/>
      <c r="SK71" s="238"/>
      <c r="SL71" s="238"/>
      <c r="SM71" s="238"/>
      <c r="SN71" s="238"/>
      <c r="SO71" s="238"/>
      <c r="SP71" s="238"/>
      <c r="SQ71" s="238"/>
      <c r="SR71" s="238"/>
      <c r="SS71" s="238"/>
      <c r="ST71" s="238"/>
      <c r="SU71" s="238"/>
      <c r="SV71" s="238"/>
      <c r="SW71" s="238"/>
      <c r="SX71" s="238"/>
      <c r="SY71" s="238"/>
      <c r="SZ71" s="238"/>
      <c r="TA71" s="238"/>
      <c r="TB71" s="238"/>
      <c r="TC71" s="238"/>
      <c r="TD71" s="238"/>
      <c r="TE71" s="238"/>
      <c r="TF71" s="238"/>
      <c r="TG71" s="238"/>
      <c r="TH71" s="238"/>
      <c r="TI71" s="238"/>
      <c r="TJ71" s="238"/>
      <c r="TK71" s="238"/>
      <c r="TL71" s="238"/>
      <c r="TM71" s="238"/>
      <c r="TN71" s="238"/>
      <c r="TO71" s="238"/>
      <c r="TP71" s="238"/>
      <c r="TQ71" s="238"/>
      <c r="TR71" s="238"/>
      <c r="TS71" s="238"/>
      <c r="TT71" s="238"/>
      <c r="TU71" s="238"/>
      <c r="TV71" s="238"/>
      <c r="TW71" s="238"/>
      <c r="TX71" s="238"/>
      <c r="TY71" s="238"/>
      <c r="TZ71" s="238"/>
      <c r="UA71" s="238"/>
      <c r="UB71" s="238"/>
      <c r="UC71" s="238"/>
      <c r="UD71" s="238"/>
      <c r="UE71" s="238"/>
      <c r="UF71" s="238"/>
      <c r="UG71" s="238"/>
      <c r="UH71" s="238"/>
      <c r="UI71" s="238"/>
      <c r="UJ71" s="238"/>
      <c r="UK71" s="238"/>
      <c r="UL71" s="238"/>
      <c r="UM71" s="238"/>
      <c r="UN71" s="238"/>
      <c r="UO71" s="238"/>
      <c r="UP71" s="238"/>
      <c r="UQ71" s="238"/>
      <c r="UR71" s="238"/>
      <c r="US71" s="238"/>
      <c r="UT71" s="238"/>
      <c r="UU71" s="238"/>
      <c r="UV71" s="238"/>
      <c r="UW71" s="238"/>
      <c r="UX71" s="238"/>
      <c r="UY71" s="238"/>
      <c r="UZ71" s="238"/>
      <c r="VA71" s="238"/>
      <c r="VB71" s="238"/>
      <c r="VC71" s="238"/>
      <c r="VD71" s="238"/>
      <c r="VE71" s="238"/>
      <c r="VF71" s="238"/>
      <c r="VG71" s="238"/>
      <c r="VH71" s="238"/>
      <c r="VI71" s="238"/>
      <c r="VJ71" s="238"/>
      <c r="VK71" s="238"/>
      <c r="VL71" s="238"/>
      <c r="VM71" s="238"/>
      <c r="VN71" s="238"/>
      <c r="VO71" s="238"/>
      <c r="VP71" s="238"/>
      <c r="VQ71" s="238"/>
      <c r="VR71" s="238"/>
      <c r="VS71" s="238"/>
      <c r="VT71" s="238"/>
      <c r="VU71" s="238"/>
      <c r="VV71" s="238"/>
      <c r="VW71" s="238"/>
      <c r="VX71" s="238"/>
      <c r="VY71" s="238"/>
      <c r="VZ71" s="238"/>
      <c r="WA71" s="238"/>
      <c r="WB71" s="238"/>
      <c r="WC71" s="238"/>
      <c r="WD71" s="238"/>
      <c r="WE71" s="238"/>
      <c r="WF71" s="238"/>
      <c r="WG71" s="238"/>
      <c r="WH71" s="238"/>
      <c r="WI71" s="238"/>
      <c r="WJ71" s="238"/>
      <c r="WK71" s="238"/>
      <c r="WL71" s="238"/>
      <c r="WM71" s="238"/>
      <c r="WN71" s="238"/>
      <c r="WO71" s="238"/>
      <c r="WP71" s="238"/>
      <c r="WQ71" s="238"/>
      <c r="WR71" s="238"/>
      <c r="WS71" s="238"/>
      <c r="WT71" s="238"/>
      <c r="WU71" s="238"/>
      <c r="WV71" s="238"/>
      <c r="WW71" s="238"/>
      <c r="WX71" s="238"/>
      <c r="WY71" s="238"/>
      <c r="WZ71" s="238"/>
      <c r="XA71" s="238"/>
      <c r="XB71" s="238"/>
      <c r="XC71" s="238"/>
      <c r="XD71" s="238"/>
      <c r="XE71" s="238"/>
      <c r="XF71" s="238"/>
      <c r="XG71" s="238"/>
      <c r="XH71" s="238"/>
      <c r="XI71" s="238"/>
      <c r="XJ71" s="238"/>
      <c r="XK71" s="238"/>
      <c r="XL71" s="238"/>
      <c r="XM71" s="238"/>
      <c r="XN71" s="238"/>
      <c r="XO71" s="238"/>
      <c r="XP71" s="238"/>
      <c r="XQ71" s="238"/>
      <c r="XR71" s="238"/>
      <c r="XS71" s="238"/>
      <c r="XT71" s="238"/>
      <c r="XU71" s="238"/>
      <c r="XV71" s="238"/>
      <c r="XW71" s="238"/>
      <c r="XX71" s="238"/>
      <c r="XY71" s="238"/>
      <c r="XZ71" s="238"/>
      <c r="YA71" s="238"/>
      <c r="YB71" s="238"/>
      <c r="YC71" s="238"/>
      <c r="YD71" s="238"/>
      <c r="YE71" s="238"/>
      <c r="YF71" s="238"/>
      <c r="YG71" s="238"/>
      <c r="YH71" s="238"/>
      <c r="YI71" s="238"/>
      <c r="YJ71" s="238"/>
      <c r="YK71" s="238"/>
      <c r="YL71" s="238"/>
      <c r="YM71" s="238"/>
      <c r="YN71" s="238"/>
      <c r="YO71" s="238"/>
      <c r="YP71" s="238"/>
      <c r="YQ71" s="238"/>
      <c r="YR71" s="238"/>
      <c r="YS71" s="238"/>
      <c r="YT71" s="238"/>
      <c r="YU71" s="238"/>
      <c r="YV71" s="238"/>
      <c r="YW71" s="238"/>
      <c r="YX71" s="238"/>
    </row>
    <row r="72" spans="1:674" s="147" customFormat="1" ht="23.1" customHeight="1">
      <c r="A72" s="147">
        <v>51</v>
      </c>
      <c r="B72" s="176" t="s">
        <v>607</v>
      </c>
      <c r="C72" s="156"/>
      <c r="D72" s="156"/>
      <c r="E72" s="153"/>
      <c r="F72" s="165"/>
      <c r="G72" s="156"/>
      <c r="H72" s="153"/>
      <c r="I72" s="156"/>
      <c r="J72" s="157"/>
      <c r="K72" s="176"/>
      <c r="L72" s="159"/>
      <c r="M72" s="156"/>
      <c r="N72" s="178"/>
      <c r="O72" s="237"/>
      <c r="P72" s="238"/>
      <c r="Q72" s="238"/>
      <c r="R72" s="238"/>
      <c r="S72" s="238"/>
      <c r="T72" s="238"/>
      <c r="U72" s="238"/>
      <c r="V72" s="238"/>
      <c r="W72" s="238"/>
      <c r="X72" s="238"/>
      <c r="Y72" s="238"/>
      <c r="Z72" s="238"/>
      <c r="AA72" s="238"/>
      <c r="AB72" s="238"/>
      <c r="AC72" s="238"/>
      <c r="AD72" s="238"/>
      <c r="AE72" s="238"/>
      <c r="AF72" s="238"/>
      <c r="AG72" s="238"/>
      <c r="AH72" s="238"/>
      <c r="AI72" s="238"/>
      <c r="AJ72" s="238"/>
      <c r="AK72" s="238"/>
      <c r="AL72" s="238"/>
      <c r="AM72" s="238"/>
      <c r="AN72" s="238"/>
      <c r="AO72" s="238"/>
      <c r="AP72" s="238"/>
      <c r="AQ72" s="238"/>
      <c r="AR72" s="238"/>
      <c r="AS72" s="238"/>
      <c r="AT72" s="238"/>
      <c r="AU72" s="238"/>
      <c r="AV72" s="238"/>
      <c r="AW72" s="238"/>
      <c r="AX72" s="238"/>
      <c r="AY72" s="238"/>
      <c r="AZ72" s="238"/>
      <c r="BA72" s="238"/>
      <c r="BB72" s="238"/>
      <c r="BC72" s="238"/>
      <c r="BD72" s="238"/>
      <c r="BE72" s="238"/>
      <c r="BF72" s="238"/>
      <c r="BG72" s="238"/>
      <c r="BH72" s="238"/>
      <c r="BI72" s="238"/>
      <c r="BJ72" s="238"/>
      <c r="BK72" s="238"/>
      <c r="BL72" s="238"/>
      <c r="BM72" s="238"/>
      <c r="BN72" s="238"/>
      <c r="BO72" s="238"/>
      <c r="BP72" s="238"/>
      <c r="BQ72" s="238"/>
      <c r="BR72" s="238"/>
      <c r="BS72" s="238"/>
      <c r="BT72" s="238"/>
      <c r="BU72" s="238"/>
      <c r="BV72" s="238"/>
      <c r="BW72" s="238"/>
      <c r="BX72" s="238"/>
      <c r="BY72" s="238"/>
      <c r="BZ72" s="238"/>
      <c r="CA72" s="238"/>
      <c r="CB72" s="238"/>
      <c r="CC72" s="238"/>
      <c r="CD72" s="238"/>
      <c r="CE72" s="238"/>
      <c r="CF72" s="238"/>
      <c r="CG72" s="238"/>
      <c r="CH72" s="238"/>
      <c r="CI72" s="238"/>
      <c r="CJ72" s="238"/>
      <c r="CK72" s="238"/>
      <c r="CL72" s="238"/>
      <c r="CM72" s="238"/>
      <c r="CN72" s="238"/>
      <c r="CO72" s="238"/>
      <c r="CP72" s="238"/>
      <c r="CQ72" s="238"/>
      <c r="CR72" s="238"/>
      <c r="CS72" s="238"/>
      <c r="CT72" s="238"/>
      <c r="CU72" s="238"/>
      <c r="CV72" s="238"/>
      <c r="CW72" s="238"/>
      <c r="CX72" s="238"/>
      <c r="CY72" s="238"/>
      <c r="CZ72" s="238"/>
      <c r="DA72" s="238"/>
      <c r="DB72" s="238"/>
      <c r="DC72" s="238"/>
      <c r="DD72" s="238"/>
      <c r="DE72" s="238"/>
      <c r="DF72" s="238"/>
      <c r="DG72" s="238"/>
      <c r="DH72" s="238"/>
      <c r="DI72" s="238"/>
      <c r="DJ72" s="238"/>
      <c r="DK72" s="238"/>
      <c r="DL72" s="238"/>
      <c r="DM72" s="238"/>
      <c r="DN72" s="238"/>
      <c r="DO72" s="238"/>
      <c r="DP72" s="238"/>
      <c r="DQ72" s="238"/>
      <c r="DR72" s="238"/>
      <c r="DS72" s="238"/>
      <c r="DT72" s="238"/>
      <c r="DU72" s="238"/>
      <c r="DV72" s="238"/>
      <c r="DW72" s="238"/>
      <c r="DX72" s="238"/>
      <c r="DY72" s="238"/>
      <c r="DZ72" s="238"/>
      <c r="EA72" s="238"/>
      <c r="EB72" s="238"/>
      <c r="EC72" s="238"/>
      <c r="ED72" s="238"/>
      <c r="EE72" s="238"/>
      <c r="EF72" s="238"/>
      <c r="EG72" s="238"/>
      <c r="EH72" s="238"/>
      <c r="EI72" s="238"/>
      <c r="EJ72" s="238"/>
      <c r="EK72" s="238"/>
      <c r="EL72" s="238"/>
      <c r="EM72" s="238"/>
      <c r="EN72" s="238"/>
      <c r="EO72" s="238"/>
      <c r="EP72" s="238"/>
      <c r="EQ72" s="238"/>
      <c r="ER72" s="238"/>
      <c r="ES72" s="238"/>
      <c r="ET72" s="238"/>
      <c r="EU72" s="238"/>
      <c r="EV72" s="238"/>
      <c r="EW72" s="238"/>
      <c r="EX72" s="238"/>
      <c r="EY72" s="238"/>
      <c r="EZ72" s="238"/>
      <c r="FA72" s="238"/>
      <c r="FB72" s="238"/>
      <c r="FC72" s="238"/>
      <c r="FD72" s="238"/>
      <c r="FE72" s="238"/>
      <c r="FF72" s="238"/>
      <c r="FG72" s="238"/>
      <c r="FH72" s="238"/>
      <c r="FI72" s="238"/>
      <c r="FJ72" s="238"/>
      <c r="FK72" s="238"/>
      <c r="FL72" s="238"/>
      <c r="FM72" s="238"/>
      <c r="FN72" s="238"/>
      <c r="FO72" s="238"/>
      <c r="FP72" s="238"/>
      <c r="FQ72" s="238"/>
      <c r="FR72" s="238"/>
      <c r="FS72" s="238"/>
      <c r="FT72" s="238"/>
      <c r="FU72" s="238"/>
      <c r="FV72" s="238"/>
      <c r="FW72" s="238"/>
      <c r="FX72" s="238"/>
      <c r="FY72" s="238"/>
      <c r="FZ72" s="238"/>
      <c r="GA72" s="238"/>
      <c r="GB72" s="238"/>
      <c r="GC72" s="238"/>
      <c r="GD72" s="238"/>
      <c r="GE72" s="238"/>
      <c r="GF72" s="238"/>
      <c r="GG72" s="238"/>
      <c r="GH72" s="238"/>
      <c r="GI72" s="238"/>
      <c r="GJ72" s="238"/>
      <c r="GK72" s="238"/>
      <c r="GL72" s="238"/>
      <c r="GM72" s="238"/>
      <c r="GN72" s="238"/>
      <c r="GO72" s="238"/>
      <c r="GP72" s="238"/>
      <c r="GQ72" s="238"/>
      <c r="GR72" s="238"/>
      <c r="GS72" s="238"/>
      <c r="GT72" s="238"/>
      <c r="GU72" s="238"/>
      <c r="GV72" s="238"/>
      <c r="GW72" s="238"/>
      <c r="GX72" s="238"/>
      <c r="GY72" s="238"/>
      <c r="GZ72" s="238"/>
      <c r="HA72" s="238"/>
      <c r="HB72" s="238"/>
      <c r="HC72" s="238"/>
      <c r="HD72" s="238"/>
      <c r="HE72" s="238"/>
      <c r="HF72" s="238"/>
      <c r="HG72" s="238"/>
      <c r="HH72" s="238"/>
      <c r="HI72" s="238"/>
      <c r="HJ72" s="238"/>
      <c r="HK72" s="238"/>
      <c r="HL72" s="238"/>
      <c r="HM72" s="238"/>
      <c r="HN72" s="238"/>
      <c r="HO72" s="238"/>
      <c r="HP72" s="238"/>
      <c r="HQ72" s="238"/>
      <c r="HR72" s="238"/>
      <c r="HS72" s="238"/>
      <c r="HT72" s="238"/>
      <c r="HU72" s="238"/>
      <c r="HV72" s="238"/>
      <c r="HW72" s="238"/>
      <c r="HX72" s="238"/>
      <c r="HY72" s="238"/>
      <c r="HZ72" s="238"/>
      <c r="IA72" s="238"/>
      <c r="IB72" s="238"/>
      <c r="IC72" s="238"/>
      <c r="ID72" s="238"/>
      <c r="IE72" s="238"/>
      <c r="IF72" s="238"/>
      <c r="IG72" s="238"/>
      <c r="IH72" s="238"/>
      <c r="II72" s="238"/>
      <c r="IJ72" s="238"/>
      <c r="IK72" s="238"/>
      <c r="IL72" s="238"/>
      <c r="IM72" s="238"/>
      <c r="IN72" s="238"/>
      <c r="IO72" s="238"/>
      <c r="IP72" s="238"/>
      <c r="IQ72" s="238"/>
      <c r="IR72" s="238"/>
      <c r="IS72" s="238"/>
      <c r="IT72" s="238"/>
      <c r="IU72" s="238"/>
      <c r="IV72" s="238"/>
      <c r="IW72" s="238"/>
      <c r="IX72" s="238"/>
      <c r="IY72" s="238"/>
      <c r="IZ72" s="238"/>
      <c r="JA72" s="238"/>
      <c r="JB72" s="238"/>
      <c r="JC72" s="238"/>
      <c r="JD72" s="238"/>
      <c r="JE72" s="238"/>
      <c r="JF72" s="238"/>
      <c r="JG72" s="238"/>
      <c r="JH72" s="238"/>
      <c r="JI72" s="238"/>
      <c r="JJ72" s="238"/>
      <c r="JK72" s="238"/>
      <c r="JL72" s="238"/>
      <c r="JM72" s="238"/>
      <c r="JN72" s="238"/>
      <c r="JO72" s="238"/>
      <c r="JP72" s="238"/>
      <c r="JQ72" s="238"/>
      <c r="JR72" s="238"/>
      <c r="JS72" s="238"/>
      <c r="JT72" s="238"/>
      <c r="JU72" s="238"/>
      <c r="JV72" s="238"/>
      <c r="JW72" s="238"/>
      <c r="JX72" s="238"/>
      <c r="JY72" s="238"/>
      <c r="JZ72" s="238"/>
      <c r="KA72" s="238"/>
      <c r="KB72" s="238"/>
      <c r="KC72" s="238"/>
      <c r="KD72" s="238"/>
      <c r="KE72" s="238"/>
      <c r="KF72" s="238"/>
      <c r="KG72" s="238"/>
      <c r="KH72" s="238"/>
      <c r="KI72" s="238"/>
      <c r="KJ72" s="238"/>
      <c r="KK72" s="238"/>
      <c r="KL72" s="238"/>
      <c r="KM72" s="238"/>
      <c r="KN72" s="238"/>
      <c r="KO72" s="238"/>
      <c r="KP72" s="238"/>
      <c r="KQ72" s="238"/>
      <c r="KR72" s="238"/>
      <c r="KS72" s="238"/>
      <c r="KT72" s="238"/>
      <c r="KU72" s="238"/>
      <c r="KV72" s="238"/>
      <c r="KW72" s="238"/>
      <c r="KX72" s="238"/>
      <c r="KY72" s="238"/>
      <c r="KZ72" s="238"/>
      <c r="LA72" s="238"/>
      <c r="LB72" s="238"/>
      <c r="LC72" s="238"/>
      <c r="LD72" s="238"/>
      <c r="LE72" s="238"/>
      <c r="LF72" s="238"/>
      <c r="LG72" s="238"/>
      <c r="LH72" s="238"/>
      <c r="LI72" s="238"/>
      <c r="LJ72" s="238"/>
      <c r="LK72" s="238"/>
      <c r="LL72" s="238"/>
      <c r="LM72" s="238"/>
      <c r="LN72" s="238"/>
      <c r="LO72" s="238"/>
      <c r="LP72" s="238"/>
      <c r="LQ72" s="238"/>
      <c r="LR72" s="238"/>
      <c r="LS72" s="238"/>
      <c r="LT72" s="238"/>
      <c r="LU72" s="238"/>
      <c r="LV72" s="238"/>
      <c r="LW72" s="238"/>
      <c r="LX72" s="238"/>
      <c r="LY72" s="238"/>
      <c r="LZ72" s="238"/>
      <c r="MA72" s="238"/>
      <c r="MB72" s="238"/>
      <c r="MC72" s="238"/>
      <c r="MD72" s="238"/>
      <c r="ME72" s="238"/>
      <c r="MF72" s="238"/>
      <c r="MG72" s="238"/>
      <c r="MH72" s="238"/>
      <c r="MI72" s="238"/>
      <c r="MJ72" s="238"/>
      <c r="MK72" s="238"/>
      <c r="ML72" s="238"/>
      <c r="MM72" s="238"/>
      <c r="MN72" s="238"/>
      <c r="MO72" s="238"/>
      <c r="MP72" s="238"/>
      <c r="MQ72" s="238"/>
      <c r="MR72" s="238"/>
      <c r="MS72" s="238"/>
      <c r="MT72" s="238"/>
      <c r="MU72" s="238"/>
      <c r="MV72" s="238"/>
      <c r="MW72" s="238"/>
      <c r="MX72" s="238"/>
      <c r="MY72" s="238"/>
      <c r="MZ72" s="238"/>
      <c r="NA72" s="238"/>
      <c r="NB72" s="238"/>
      <c r="NC72" s="238"/>
      <c r="ND72" s="238"/>
      <c r="NE72" s="238"/>
      <c r="NF72" s="238"/>
      <c r="NG72" s="238"/>
      <c r="NH72" s="238"/>
      <c r="NI72" s="238"/>
      <c r="NJ72" s="238"/>
      <c r="NK72" s="238"/>
      <c r="NL72" s="238"/>
      <c r="NM72" s="238"/>
      <c r="NN72" s="238"/>
      <c r="NO72" s="238"/>
      <c r="NP72" s="238"/>
      <c r="NQ72" s="238"/>
      <c r="NR72" s="238"/>
      <c r="NS72" s="238"/>
      <c r="NT72" s="238"/>
      <c r="NU72" s="238"/>
      <c r="NV72" s="238"/>
      <c r="NW72" s="238"/>
      <c r="NX72" s="238"/>
      <c r="NY72" s="238"/>
      <c r="NZ72" s="238"/>
      <c r="OA72" s="238"/>
      <c r="OB72" s="238"/>
      <c r="OC72" s="238"/>
      <c r="OD72" s="238"/>
      <c r="OE72" s="238"/>
      <c r="OF72" s="238"/>
      <c r="OG72" s="238"/>
      <c r="OH72" s="238"/>
      <c r="OI72" s="238"/>
      <c r="OJ72" s="238"/>
      <c r="OK72" s="238"/>
      <c r="OL72" s="238"/>
      <c r="OM72" s="238"/>
      <c r="ON72" s="238"/>
      <c r="OO72" s="238"/>
      <c r="OP72" s="238"/>
      <c r="OQ72" s="238"/>
      <c r="OR72" s="238"/>
      <c r="OS72" s="238"/>
      <c r="OT72" s="238"/>
      <c r="OU72" s="238"/>
      <c r="OV72" s="238"/>
      <c r="OW72" s="238"/>
      <c r="OX72" s="238"/>
      <c r="OY72" s="238"/>
      <c r="OZ72" s="238"/>
      <c r="PA72" s="238"/>
      <c r="PB72" s="238"/>
      <c r="PC72" s="238"/>
      <c r="PD72" s="238"/>
      <c r="PE72" s="238"/>
      <c r="PF72" s="238"/>
      <c r="PG72" s="238"/>
      <c r="PH72" s="238"/>
      <c r="PI72" s="238"/>
      <c r="PJ72" s="238"/>
      <c r="PK72" s="238"/>
      <c r="PL72" s="238"/>
      <c r="PM72" s="238"/>
      <c r="PN72" s="238"/>
      <c r="PO72" s="238"/>
      <c r="PP72" s="238"/>
      <c r="PQ72" s="238"/>
      <c r="PR72" s="238"/>
      <c r="PS72" s="238"/>
      <c r="PT72" s="238"/>
      <c r="PU72" s="238"/>
      <c r="PV72" s="238"/>
      <c r="PW72" s="238"/>
      <c r="PX72" s="238"/>
      <c r="PY72" s="238"/>
      <c r="PZ72" s="238"/>
      <c r="QA72" s="238"/>
      <c r="QB72" s="238"/>
      <c r="QC72" s="238"/>
      <c r="QD72" s="238"/>
      <c r="QE72" s="238"/>
      <c r="QF72" s="238"/>
      <c r="QG72" s="238"/>
      <c r="QH72" s="238"/>
      <c r="QI72" s="238"/>
      <c r="QJ72" s="238"/>
      <c r="QK72" s="238"/>
      <c r="QL72" s="238"/>
      <c r="QM72" s="238"/>
      <c r="QN72" s="238"/>
      <c r="QO72" s="238"/>
      <c r="QP72" s="238"/>
      <c r="QQ72" s="238"/>
      <c r="QR72" s="238"/>
      <c r="QS72" s="238"/>
      <c r="QT72" s="238"/>
      <c r="QU72" s="238"/>
      <c r="QV72" s="238"/>
      <c r="QW72" s="238"/>
      <c r="QX72" s="238"/>
      <c r="QY72" s="238"/>
      <c r="QZ72" s="238"/>
      <c r="RA72" s="238"/>
      <c r="RB72" s="238"/>
      <c r="RC72" s="238"/>
      <c r="RD72" s="238"/>
      <c r="RE72" s="238"/>
      <c r="RF72" s="238"/>
      <c r="RG72" s="238"/>
      <c r="RH72" s="238"/>
      <c r="RI72" s="238"/>
      <c r="RJ72" s="238"/>
      <c r="RK72" s="238"/>
      <c r="RL72" s="238"/>
      <c r="RM72" s="238"/>
      <c r="RN72" s="238"/>
      <c r="RO72" s="238"/>
      <c r="RP72" s="238"/>
      <c r="RQ72" s="238"/>
      <c r="RR72" s="238"/>
      <c r="RS72" s="238"/>
      <c r="RT72" s="238"/>
      <c r="RU72" s="238"/>
      <c r="RV72" s="238"/>
      <c r="RW72" s="238"/>
      <c r="RX72" s="238"/>
      <c r="RY72" s="238"/>
      <c r="RZ72" s="238"/>
      <c r="SA72" s="238"/>
      <c r="SB72" s="238"/>
      <c r="SC72" s="238"/>
      <c r="SD72" s="238"/>
      <c r="SE72" s="238"/>
      <c r="SF72" s="238"/>
      <c r="SG72" s="238"/>
      <c r="SH72" s="238"/>
      <c r="SI72" s="238"/>
      <c r="SJ72" s="238"/>
      <c r="SK72" s="238"/>
      <c r="SL72" s="238"/>
      <c r="SM72" s="238"/>
      <c r="SN72" s="238"/>
      <c r="SO72" s="238"/>
      <c r="SP72" s="238"/>
      <c r="SQ72" s="238"/>
      <c r="SR72" s="238"/>
      <c r="SS72" s="238"/>
      <c r="ST72" s="238"/>
      <c r="SU72" s="238"/>
      <c r="SV72" s="238"/>
      <c r="SW72" s="238"/>
      <c r="SX72" s="238"/>
      <c r="SY72" s="238"/>
      <c r="SZ72" s="238"/>
      <c r="TA72" s="238"/>
      <c r="TB72" s="238"/>
      <c r="TC72" s="238"/>
      <c r="TD72" s="238"/>
      <c r="TE72" s="238"/>
      <c r="TF72" s="238"/>
      <c r="TG72" s="238"/>
      <c r="TH72" s="238"/>
      <c r="TI72" s="238"/>
      <c r="TJ72" s="238"/>
      <c r="TK72" s="238"/>
      <c r="TL72" s="238"/>
      <c r="TM72" s="238"/>
      <c r="TN72" s="238"/>
      <c r="TO72" s="238"/>
      <c r="TP72" s="238"/>
      <c r="TQ72" s="238"/>
      <c r="TR72" s="238"/>
      <c r="TS72" s="238"/>
      <c r="TT72" s="238"/>
      <c r="TU72" s="238"/>
      <c r="TV72" s="238"/>
      <c r="TW72" s="238"/>
      <c r="TX72" s="238"/>
      <c r="TY72" s="238"/>
      <c r="TZ72" s="238"/>
      <c r="UA72" s="238"/>
      <c r="UB72" s="238"/>
      <c r="UC72" s="238"/>
      <c r="UD72" s="238"/>
      <c r="UE72" s="238"/>
      <c r="UF72" s="238"/>
      <c r="UG72" s="238"/>
      <c r="UH72" s="238"/>
      <c r="UI72" s="238"/>
      <c r="UJ72" s="238"/>
      <c r="UK72" s="238"/>
      <c r="UL72" s="238"/>
      <c r="UM72" s="238"/>
      <c r="UN72" s="238"/>
      <c r="UO72" s="238"/>
      <c r="UP72" s="238"/>
      <c r="UQ72" s="238"/>
      <c r="UR72" s="238"/>
      <c r="US72" s="238"/>
      <c r="UT72" s="238"/>
      <c r="UU72" s="238"/>
      <c r="UV72" s="238"/>
      <c r="UW72" s="238"/>
      <c r="UX72" s="238"/>
      <c r="UY72" s="238"/>
      <c r="UZ72" s="238"/>
      <c r="VA72" s="238"/>
      <c r="VB72" s="238"/>
      <c r="VC72" s="238"/>
      <c r="VD72" s="238"/>
      <c r="VE72" s="238"/>
      <c r="VF72" s="238"/>
      <c r="VG72" s="238"/>
      <c r="VH72" s="238"/>
      <c r="VI72" s="238"/>
      <c r="VJ72" s="238"/>
      <c r="VK72" s="238"/>
      <c r="VL72" s="238"/>
      <c r="VM72" s="238"/>
      <c r="VN72" s="238"/>
      <c r="VO72" s="238"/>
      <c r="VP72" s="238"/>
      <c r="VQ72" s="238"/>
      <c r="VR72" s="238"/>
      <c r="VS72" s="238"/>
      <c r="VT72" s="238"/>
      <c r="VU72" s="238"/>
      <c r="VV72" s="238"/>
      <c r="VW72" s="238"/>
      <c r="VX72" s="238"/>
      <c r="VY72" s="238"/>
      <c r="VZ72" s="238"/>
      <c r="WA72" s="238"/>
      <c r="WB72" s="238"/>
      <c r="WC72" s="238"/>
      <c r="WD72" s="238"/>
      <c r="WE72" s="238"/>
      <c r="WF72" s="238"/>
      <c r="WG72" s="238"/>
      <c r="WH72" s="238"/>
      <c r="WI72" s="238"/>
      <c r="WJ72" s="238"/>
      <c r="WK72" s="238"/>
      <c r="WL72" s="238"/>
      <c r="WM72" s="238"/>
      <c r="WN72" s="238"/>
      <c r="WO72" s="238"/>
      <c r="WP72" s="238"/>
      <c r="WQ72" s="238"/>
      <c r="WR72" s="238"/>
      <c r="WS72" s="238"/>
      <c r="WT72" s="238"/>
      <c r="WU72" s="238"/>
      <c r="WV72" s="238"/>
      <c r="WW72" s="238"/>
      <c r="WX72" s="238"/>
      <c r="WY72" s="238"/>
      <c r="WZ72" s="238"/>
      <c r="XA72" s="238"/>
      <c r="XB72" s="238"/>
      <c r="XC72" s="238"/>
      <c r="XD72" s="238"/>
      <c r="XE72" s="238"/>
      <c r="XF72" s="238"/>
      <c r="XG72" s="238"/>
      <c r="XH72" s="238"/>
      <c r="XI72" s="238"/>
      <c r="XJ72" s="238"/>
      <c r="XK72" s="238"/>
      <c r="XL72" s="238"/>
      <c r="XM72" s="238"/>
      <c r="XN72" s="238"/>
      <c r="XO72" s="238"/>
      <c r="XP72" s="238"/>
      <c r="XQ72" s="238"/>
      <c r="XR72" s="238"/>
      <c r="XS72" s="238"/>
      <c r="XT72" s="238"/>
      <c r="XU72" s="238"/>
      <c r="XV72" s="238"/>
      <c r="XW72" s="238"/>
      <c r="XX72" s="238"/>
      <c r="XY72" s="238"/>
      <c r="XZ72" s="238"/>
      <c r="YA72" s="238"/>
      <c r="YB72" s="238"/>
      <c r="YC72" s="238"/>
      <c r="YD72" s="238"/>
      <c r="YE72" s="238"/>
      <c r="YF72" s="238"/>
      <c r="YG72" s="238"/>
      <c r="YH72" s="238"/>
      <c r="YI72" s="238"/>
      <c r="YJ72" s="238"/>
      <c r="YK72" s="238"/>
      <c r="YL72" s="238"/>
      <c r="YM72" s="238"/>
      <c r="YN72" s="238"/>
      <c r="YO72" s="238"/>
      <c r="YP72" s="238"/>
      <c r="YQ72" s="238"/>
      <c r="YR72" s="238"/>
      <c r="YS72" s="238"/>
      <c r="YT72" s="238"/>
      <c r="YU72" s="238"/>
      <c r="YV72" s="238"/>
      <c r="YW72" s="238"/>
      <c r="YX72" s="238"/>
    </row>
    <row r="73" spans="1:674" s="238" customFormat="1" ht="23.1" customHeight="1">
      <c r="A73" s="156"/>
      <c r="B73" s="176"/>
      <c r="C73" s="156"/>
      <c r="D73" s="156"/>
      <c r="E73" s="153"/>
      <c r="F73" s="165"/>
      <c r="H73" s="153"/>
      <c r="I73" s="156"/>
      <c r="J73" s="165"/>
      <c r="K73" s="176"/>
      <c r="L73" s="159"/>
      <c r="M73" s="156"/>
      <c r="N73" s="236"/>
      <c r="O73" s="237"/>
    </row>
    <row r="74" spans="1:674" s="238" customFormat="1" ht="23.1" customHeight="1">
      <c r="A74" s="156"/>
      <c r="B74" s="148" t="s">
        <v>608</v>
      </c>
      <c r="C74" s="147"/>
      <c r="D74" s="171"/>
      <c r="E74" s="171"/>
      <c r="F74" s="147"/>
      <c r="G74" s="147"/>
      <c r="H74" s="171"/>
      <c r="I74" s="171"/>
      <c r="J74" s="149"/>
      <c r="K74" s="147"/>
      <c r="L74" s="174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AR74" s="147"/>
      <c r="AS74" s="147"/>
      <c r="AT74" s="147"/>
      <c r="AU74" s="147"/>
      <c r="AV74" s="147"/>
      <c r="AW74" s="147"/>
      <c r="AX74" s="147"/>
      <c r="AY74" s="147"/>
      <c r="AZ74" s="147"/>
      <c r="BA74" s="147"/>
      <c r="BB74" s="147"/>
      <c r="BC74" s="147"/>
      <c r="BD74" s="147"/>
      <c r="BE74" s="147"/>
      <c r="BF74" s="147"/>
      <c r="BG74" s="147"/>
      <c r="BH74" s="147"/>
      <c r="BI74" s="147"/>
      <c r="BJ74" s="147"/>
      <c r="BK74" s="147"/>
      <c r="BL74" s="147"/>
      <c r="BM74" s="147"/>
      <c r="BN74" s="147"/>
      <c r="BO74" s="147"/>
      <c r="BP74" s="147"/>
      <c r="BQ74" s="147"/>
      <c r="BR74" s="147"/>
      <c r="BS74" s="147"/>
      <c r="BT74" s="147"/>
      <c r="BU74" s="147"/>
      <c r="BV74" s="147"/>
      <c r="BW74" s="147"/>
      <c r="BX74" s="147"/>
      <c r="BY74" s="147"/>
      <c r="BZ74" s="147"/>
      <c r="CA74" s="147"/>
      <c r="CB74" s="147"/>
      <c r="CC74" s="147"/>
      <c r="CD74" s="147"/>
      <c r="CE74" s="147"/>
      <c r="CF74" s="147"/>
      <c r="CG74" s="147"/>
      <c r="CH74" s="147"/>
      <c r="CI74" s="147"/>
      <c r="CJ74" s="147"/>
      <c r="CK74" s="147"/>
      <c r="CL74" s="147"/>
      <c r="CM74" s="147"/>
      <c r="CN74" s="147"/>
      <c r="CO74" s="147"/>
      <c r="CP74" s="147"/>
      <c r="CQ74" s="147"/>
      <c r="CR74" s="147"/>
      <c r="CS74" s="147"/>
      <c r="CT74" s="147"/>
      <c r="CU74" s="147"/>
      <c r="CV74" s="147"/>
      <c r="CW74" s="147"/>
      <c r="CX74" s="147"/>
      <c r="CY74" s="147"/>
      <c r="CZ74" s="147"/>
      <c r="DA74" s="147"/>
      <c r="DB74" s="147"/>
      <c r="DC74" s="147"/>
      <c r="DD74" s="147"/>
      <c r="DE74" s="147"/>
      <c r="DF74" s="147"/>
      <c r="DG74" s="147"/>
      <c r="DH74" s="147"/>
      <c r="DI74" s="147"/>
      <c r="DJ74" s="147"/>
      <c r="DK74" s="147"/>
      <c r="DL74" s="147"/>
      <c r="DM74" s="147"/>
      <c r="DN74" s="147"/>
      <c r="DO74" s="147"/>
      <c r="DP74" s="147"/>
      <c r="DQ74" s="147"/>
      <c r="DR74" s="147"/>
      <c r="DS74" s="147"/>
      <c r="DT74" s="147"/>
      <c r="DU74" s="147"/>
      <c r="DV74" s="147"/>
      <c r="DW74" s="147"/>
      <c r="DX74" s="147"/>
      <c r="DY74" s="147"/>
      <c r="DZ74" s="147"/>
      <c r="EA74" s="147"/>
      <c r="EB74" s="147"/>
      <c r="EC74" s="147"/>
      <c r="ED74" s="147"/>
      <c r="EE74" s="147"/>
      <c r="EF74" s="147"/>
      <c r="EG74" s="147"/>
      <c r="EH74" s="147"/>
      <c r="EI74" s="147"/>
      <c r="EJ74" s="147"/>
      <c r="EK74" s="147"/>
      <c r="EL74" s="147"/>
      <c r="EM74" s="147"/>
      <c r="EN74" s="147"/>
      <c r="EO74" s="147"/>
      <c r="EP74" s="147"/>
      <c r="EQ74" s="147"/>
      <c r="ER74" s="147"/>
      <c r="ES74" s="147"/>
      <c r="ET74" s="147"/>
      <c r="EU74" s="147"/>
      <c r="EV74" s="147"/>
      <c r="EW74" s="147"/>
      <c r="EX74" s="147"/>
      <c r="EY74" s="147"/>
      <c r="EZ74" s="147"/>
      <c r="FA74" s="147"/>
      <c r="FB74" s="147"/>
      <c r="FC74" s="147"/>
      <c r="FD74" s="147"/>
      <c r="FE74" s="147"/>
      <c r="FF74" s="147"/>
      <c r="FG74" s="147"/>
      <c r="FH74" s="147"/>
      <c r="FI74" s="147"/>
      <c r="FJ74" s="147"/>
      <c r="FK74" s="147"/>
      <c r="FL74" s="147"/>
      <c r="FM74" s="147"/>
      <c r="FN74" s="147"/>
      <c r="FO74" s="147"/>
      <c r="FP74" s="147"/>
      <c r="FQ74" s="147"/>
      <c r="FR74" s="147"/>
      <c r="FS74" s="147"/>
      <c r="FT74" s="147"/>
      <c r="FU74" s="147"/>
      <c r="FV74" s="147"/>
      <c r="FW74" s="147"/>
      <c r="FX74" s="147"/>
      <c r="FY74" s="147"/>
      <c r="FZ74" s="147"/>
      <c r="GA74" s="147"/>
      <c r="GB74" s="147"/>
      <c r="GC74" s="147"/>
      <c r="GD74" s="147"/>
      <c r="GE74" s="147"/>
      <c r="GF74" s="147"/>
      <c r="GG74" s="147"/>
      <c r="GH74" s="147"/>
      <c r="GI74" s="147"/>
      <c r="GJ74" s="147"/>
      <c r="GK74" s="147"/>
      <c r="GL74" s="147"/>
      <c r="GM74" s="147"/>
      <c r="GN74" s="147"/>
      <c r="GO74" s="147"/>
      <c r="GP74" s="147"/>
      <c r="GQ74" s="147"/>
      <c r="GR74" s="147"/>
      <c r="GS74" s="147"/>
      <c r="GT74" s="147"/>
      <c r="GU74" s="147"/>
      <c r="GV74" s="147"/>
      <c r="GW74" s="147"/>
      <c r="GX74" s="147"/>
      <c r="GY74" s="147"/>
      <c r="GZ74" s="147"/>
      <c r="HA74" s="147"/>
      <c r="HB74" s="147"/>
      <c r="HC74" s="147"/>
      <c r="HD74" s="147"/>
      <c r="HE74" s="147"/>
      <c r="HF74" s="147"/>
      <c r="HG74" s="147"/>
      <c r="HH74" s="147"/>
      <c r="HI74" s="147"/>
      <c r="HJ74" s="147"/>
      <c r="HK74" s="147"/>
      <c r="HL74" s="147"/>
      <c r="HM74" s="147"/>
      <c r="HN74" s="147"/>
      <c r="HO74" s="147"/>
      <c r="HP74" s="147"/>
      <c r="HQ74" s="147"/>
      <c r="HR74" s="147"/>
      <c r="HS74" s="147"/>
      <c r="HT74" s="147"/>
      <c r="HU74" s="147"/>
      <c r="HV74" s="147"/>
      <c r="HW74" s="147"/>
      <c r="HX74" s="147"/>
      <c r="HY74" s="147"/>
      <c r="HZ74" s="147"/>
      <c r="IA74" s="147"/>
      <c r="IB74" s="147"/>
      <c r="IC74" s="147"/>
      <c r="ID74" s="147"/>
      <c r="IE74" s="147"/>
      <c r="IF74" s="147"/>
      <c r="IG74" s="147"/>
      <c r="IH74" s="147"/>
      <c r="II74" s="147"/>
      <c r="IJ74" s="147"/>
      <c r="IK74" s="147"/>
      <c r="IL74" s="147"/>
      <c r="IM74" s="147"/>
      <c r="IN74" s="147"/>
      <c r="IO74" s="147"/>
      <c r="IP74" s="147"/>
      <c r="IQ74" s="147"/>
      <c r="IR74" s="147"/>
      <c r="IS74" s="147"/>
      <c r="IT74" s="147"/>
      <c r="IU74" s="147"/>
      <c r="IV74" s="147"/>
      <c r="IW74" s="147"/>
      <c r="IX74" s="147"/>
      <c r="IY74" s="147"/>
      <c r="IZ74" s="147"/>
      <c r="JA74" s="147"/>
      <c r="JB74" s="147"/>
      <c r="JC74" s="147"/>
      <c r="JD74" s="147"/>
      <c r="JE74" s="147"/>
      <c r="JF74" s="147"/>
      <c r="JG74" s="147"/>
      <c r="JH74" s="147"/>
      <c r="JI74" s="147"/>
      <c r="JJ74" s="147"/>
      <c r="JK74" s="147"/>
      <c r="JL74" s="147"/>
      <c r="JM74" s="147"/>
      <c r="JN74" s="147"/>
      <c r="JO74" s="147"/>
      <c r="JP74" s="147"/>
      <c r="JQ74" s="147"/>
      <c r="JR74" s="147"/>
      <c r="JS74" s="147"/>
      <c r="JT74" s="147"/>
      <c r="JU74" s="147"/>
      <c r="JV74" s="147"/>
      <c r="JW74" s="147"/>
      <c r="JX74" s="147"/>
      <c r="JY74" s="147"/>
      <c r="JZ74" s="147"/>
      <c r="KA74" s="147"/>
      <c r="KB74" s="147"/>
      <c r="KC74" s="147"/>
      <c r="KD74" s="147"/>
      <c r="KE74" s="147"/>
      <c r="KF74" s="147"/>
      <c r="KG74" s="147"/>
      <c r="KH74" s="147"/>
      <c r="KI74" s="147"/>
      <c r="KJ74" s="147"/>
      <c r="KK74" s="147"/>
      <c r="KL74" s="147"/>
      <c r="KM74" s="147"/>
      <c r="KN74" s="147"/>
      <c r="KO74" s="147"/>
      <c r="KP74" s="147"/>
      <c r="KQ74" s="147"/>
      <c r="KR74" s="147"/>
      <c r="KS74" s="147"/>
      <c r="KT74" s="147"/>
      <c r="KU74" s="147"/>
      <c r="KV74" s="147"/>
      <c r="KW74" s="147"/>
      <c r="KX74" s="147"/>
      <c r="KY74" s="147"/>
      <c r="KZ74" s="147"/>
      <c r="LA74" s="147"/>
      <c r="LB74" s="147"/>
      <c r="LC74" s="147"/>
      <c r="LD74" s="147"/>
      <c r="LE74" s="147"/>
      <c r="LF74" s="147"/>
      <c r="LG74" s="147"/>
      <c r="LH74" s="147"/>
      <c r="LI74" s="147"/>
      <c r="LJ74" s="147"/>
      <c r="LK74" s="147"/>
      <c r="LL74" s="147"/>
      <c r="LM74" s="147"/>
      <c r="LN74" s="147"/>
      <c r="LO74" s="147"/>
      <c r="LP74" s="147"/>
      <c r="LQ74" s="147"/>
      <c r="LR74" s="147"/>
      <c r="LS74" s="147"/>
      <c r="LT74" s="147"/>
      <c r="LU74" s="147"/>
      <c r="LV74" s="147"/>
      <c r="LW74" s="147"/>
      <c r="LX74" s="147"/>
      <c r="LY74" s="147"/>
      <c r="LZ74" s="147"/>
      <c r="MA74" s="147"/>
      <c r="MB74" s="147"/>
      <c r="MC74" s="147"/>
      <c r="MD74" s="147"/>
      <c r="ME74" s="147"/>
      <c r="MF74" s="147"/>
      <c r="MG74" s="147"/>
      <c r="MH74" s="147"/>
      <c r="MI74" s="147"/>
      <c r="MJ74" s="147"/>
      <c r="MK74" s="147"/>
      <c r="ML74" s="147"/>
      <c r="MM74" s="147"/>
      <c r="MN74" s="147"/>
      <c r="MO74" s="147"/>
      <c r="MP74" s="147"/>
      <c r="MQ74" s="147"/>
      <c r="MR74" s="147"/>
      <c r="MS74" s="147"/>
      <c r="MT74" s="147"/>
      <c r="MU74" s="147"/>
      <c r="MV74" s="147"/>
      <c r="MW74" s="147"/>
      <c r="MX74" s="147"/>
      <c r="MY74" s="147"/>
      <c r="MZ74" s="147"/>
      <c r="NA74" s="147"/>
      <c r="NB74" s="147"/>
      <c r="NC74" s="147"/>
      <c r="ND74" s="147"/>
      <c r="NE74" s="147"/>
      <c r="NF74" s="147"/>
      <c r="NG74" s="147"/>
      <c r="NH74" s="147"/>
      <c r="NI74" s="147"/>
      <c r="NJ74" s="147"/>
      <c r="NK74" s="147"/>
      <c r="NL74" s="147"/>
      <c r="NM74" s="147"/>
      <c r="NN74" s="147"/>
      <c r="NO74" s="147"/>
      <c r="NP74" s="147"/>
      <c r="NQ74" s="147"/>
      <c r="NR74" s="147"/>
      <c r="NS74" s="147"/>
      <c r="NT74" s="147"/>
      <c r="NU74" s="147"/>
      <c r="NV74" s="147"/>
      <c r="NW74" s="147"/>
      <c r="NX74" s="147"/>
      <c r="NY74" s="147"/>
      <c r="NZ74" s="147"/>
      <c r="OA74" s="147"/>
      <c r="OB74" s="147"/>
      <c r="OC74" s="147"/>
      <c r="OD74" s="147"/>
      <c r="OE74" s="147"/>
      <c r="OF74" s="147"/>
      <c r="OG74" s="147"/>
      <c r="OH74" s="147"/>
      <c r="OI74" s="147"/>
      <c r="OJ74" s="147"/>
      <c r="OK74" s="147"/>
      <c r="OL74" s="147"/>
      <c r="OM74" s="147"/>
      <c r="ON74" s="147"/>
      <c r="OO74" s="147"/>
      <c r="OP74" s="147"/>
      <c r="OQ74" s="147"/>
      <c r="OR74" s="147"/>
      <c r="OS74" s="147"/>
      <c r="OT74" s="147"/>
      <c r="OU74" s="147"/>
      <c r="OV74" s="147"/>
      <c r="OW74" s="147"/>
      <c r="OX74" s="147"/>
      <c r="OY74" s="147"/>
      <c r="OZ74" s="147"/>
      <c r="PA74" s="147"/>
      <c r="PB74" s="147"/>
      <c r="PC74" s="147"/>
      <c r="PD74" s="147"/>
      <c r="PE74" s="147"/>
      <c r="PF74" s="147"/>
      <c r="PG74" s="147"/>
      <c r="PH74" s="147"/>
      <c r="PI74" s="147"/>
      <c r="PJ74" s="147"/>
      <c r="PK74" s="147"/>
      <c r="PL74" s="147"/>
      <c r="PM74" s="147"/>
      <c r="PN74" s="147"/>
      <c r="PO74" s="147"/>
      <c r="PP74" s="147"/>
      <c r="PQ74" s="147"/>
      <c r="PR74" s="147"/>
      <c r="PS74" s="147"/>
      <c r="PT74" s="147"/>
      <c r="PU74" s="147"/>
      <c r="PV74" s="147"/>
      <c r="PW74" s="147"/>
      <c r="PX74" s="147"/>
      <c r="PY74" s="147"/>
      <c r="PZ74" s="147"/>
      <c r="QA74" s="147"/>
      <c r="QB74" s="147"/>
      <c r="QC74" s="147"/>
      <c r="QD74" s="147"/>
      <c r="QE74" s="147"/>
      <c r="QF74" s="147"/>
      <c r="QG74" s="147"/>
      <c r="QH74" s="147"/>
      <c r="QI74" s="147"/>
      <c r="QJ74" s="147"/>
      <c r="QK74" s="147"/>
      <c r="QL74" s="147"/>
      <c r="QM74" s="147"/>
      <c r="QN74" s="147"/>
      <c r="QO74" s="147"/>
      <c r="QP74" s="147"/>
      <c r="QQ74" s="147"/>
      <c r="QR74" s="147"/>
      <c r="QS74" s="147"/>
      <c r="QT74" s="147"/>
      <c r="QU74" s="147"/>
      <c r="QV74" s="147"/>
      <c r="QW74" s="147"/>
      <c r="QX74" s="147"/>
      <c r="QY74" s="147"/>
      <c r="QZ74" s="147"/>
      <c r="RA74" s="147"/>
      <c r="RB74" s="147"/>
      <c r="RC74" s="147"/>
      <c r="RD74" s="147"/>
      <c r="RE74" s="147"/>
      <c r="RF74" s="147"/>
      <c r="RG74" s="147"/>
      <c r="RH74" s="147"/>
      <c r="RI74" s="147"/>
      <c r="RJ74" s="147"/>
      <c r="RK74" s="147"/>
      <c r="RL74" s="147"/>
      <c r="RM74" s="147"/>
      <c r="RN74" s="147"/>
      <c r="RO74" s="147"/>
      <c r="RP74" s="147"/>
      <c r="RQ74" s="147"/>
      <c r="RR74" s="147"/>
      <c r="RS74" s="147"/>
      <c r="RT74" s="147"/>
      <c r="RU74" s="147"/>
      <c r="RV74" s="147"/>
      <c r="RW74" s="147"/>
      <c r="RX74" s="147"/>
      <c r="RY74" s="147"/>
      <c r="RZ74" s="147"/>
      <c r="SA74" s="147"/>
      <c r="SB74" s="147"/>
      <c r="SC74" s="147"/>
      <c r="SD74" s="147"/>
      <c r="SE74" s="147"/>
      <c r="SF74" s="147"/>
      <c r="SG74" s="147"/>
      <c r="SH74" s="147"/>
      <c r="SI74" s="147"/>
      <c r="SJ74" s="147"/>
      <c r="SK74" s="147"/>
      <c r="SL74" s="147"/>
      <c r="SM74" s="147"/>
      <c r="SN74" s="147"/>
      <c r="SO74" s="147"/>
      <c r="SP74" s="147"/>
      <c r="SQ74" s="147"/>
      <c r="SR74" s="147"/>
      <c r="SS74" s="147"/>
      <c r="ST74" s="147"/>
      <c r="SU74" s="147"/>
      <c r="SV74" s="147"/>
      <c r="SW74" s="147"/>
      <c r="SX74" s="147"/>
      <c r="SY74" s="147"/>
      <c r="SZ74" s="147"/>
      <c r="TA74" s="147"/>
      <c r="TB74" s="147"/>
      <c r="TC74" s="147"/>
      <c r="TD74" s="147"/>
      <c r="TE74" s="147"/>
      <c r="TF74" s="147"/>
      <c r="TG74" s="147"/>
      <c r="TH74" s="147"/>
      <c r="TI74" s="147"/>
      <c r="TJ74" s="147"/>
      <c r="TK74" s="147"/>
      <c r="TL74" s="147"/>
      <c r="TM74" s="147"/>
      <c r="TN74" s="147"/>
      <c r="TO74" s="147"/>
      <c r="TP74" s="147"/>
      <c r="TQ74" s="147"/>
      <c r="TR74" s="147"/>
      <c r="TS74" s="147"/>
      <c r="TT74" s="147"/>
      <c r="TU74" s="147"/>
      <c r="TV74" s="147"/>
      <c r="TW74" s="147"/>
      <c r="TX74" s="147"/>
      <c r="TY74" s="147"/>
      <c r="TZ74" s="147"/>
      <c r="UA74" s="147"/>
      <c r="UB74" s="147"/>
      <c r="UC74" s="147"/>
      <c r="UD74" s="147"/>
      <c r="UE74" s="147"/>
      <c r="UF74" s="147"/>
      <c r="UG74" s="147"/>
      <c r="UH74" s="147"/>
      <c r="UI74" s="147"/>
      <c r="UJ74" s="147"/>
      <c r="UK74" s="147"/>
      <c r="UL74" s="147"/>
      <c r="UM74" s="147"/>
      <c r="UN74" s="147"/>
      <c r="UO74" s="147"/>
      <c r="UP74" s="147"/>
      <c r="UQ74" s="147"/>
      <c r="UR74" s="147"/>
      <c r="US74" s="147"/>
      <c r="UT74" s="147"/>
      <c r="UU74" s="147"/>
      <c r="UV74" s="147"/>
      <c r="UW74" s="147"/>
      <c r="UX74" s="147"/>
      <c r="UY74" s="147"/>
      <c r="UZ74" s="147"/>
      <c r="VA74" s="147"/>
      <c r="VB74" s="147"/>
      <c r="VC74" s="147"/>
      <c r="VD74" s="147"/>
      <c r="VE74" s="147"/>
      <c r="VF74" s="147"/>
      <c r="VG74" s="147"/>
      <c r="VH74" s="147"/>
      <c r="VI74" s="147"/>
      <c r="VJ74" s="147"/>
      <c r="VK74" s="147"/>
      <c r="VL74" s="147"/>
      <c r="VM74" s="147"/>
      <c r="VN74" s="147"/>
      <c r="VO74" s="147"/>
      <c r="VP74" s="147"/>
      <c r="VQ74" s="147"/>
      <c r="VR74" s="147"/>
      <c r="VS74" s="147"/>
      <c r="VT74" s="147"/>
      <c r="VU74" s="147"/>
      <c r="VV74" s="147"/>
      <c r="VW74" s="147"/>
      <c r="VX74" s="147"/>
      <c r="VY74" s="147"/>
      <c r="VZ74" s="147"/>
      <c r="WA74" s="147"/>
      <c r="WB74" s="147"/>
      <c r="WC74" s="147"/>
      <c r="WD74" s="147"/>
      <c r="WE74" s="147"/>
      <c r="WF74" s="147"/>
      <c r="WG74" s="147"/>
      <c r="WH74" s="147"/>
      <c r="WI74" s="147"/>
      <c r="WJ74" s="147"/>
      <c r="WK74" s="147"/>
      <c r="WL74" s="147"/>
      <c r="WM74" s="147"/>
      <c r="WN74" s="147"/>
      <c r="WO74" s="147"/>
      <c r="WP74" s="147"/>
      <c r="WQ74" s="147"/>
      <c r="WR74" s="147"/>
      <c r="WS74" s="147"/>
      <c r="WT74" s="147"/>
      <c r="WU74" s="147"/>
      <c r="WV74" s="147"/>
      <c r="WW74" s="147"/>
      <c r="WX74" s="147"/>
      <c r="WY74" s="147"/>
      <c r="WZ74" s="147"/>
      <c r="XA74" s="147"/>
      <c r="XB74" s="147"/>
      <c r="XC74" s="147"/>
      <c r="XD74" s="147"/>
      <c r="XE74" s="147"/>
      <c r="XF74" s="147"/>
      <c r="XG74" s="147"/>
      <c r="XH74" s="147"/>
      <c r="XI74" s="147"/>
      <c r="XJ74" s="147"/>
      <c r="XK74" s="147"/>
      <c r="XL74" s="147"/>
      <c r="XM74" s="147"/>
      <c r="XN74" s="147"/>
      <c r="XO74" s="147"/>
      <c r="XP74" s="147"/>
      <c r="XQ74" s="147"/>
      <c r="XR74" s="147"/>
      <c r="XS74" s="147"/>
      <c r="XT74" s="147"/>
      <c r="XU74" s="147"/>
      <c r="XV74" s="147"/>
      <c r="XW74" s="147"/>
      <c r="XX74" s="147"/>
      <c r="XY74" s="147"/>
      <c r="XZ74" s="147"/>
      <c r="YA74" s="147"/>
      <c r="YB74" s="147"/>
      <c r="YC74" s="147"/>
      <c r="YD74" s="147"/>
      <c r="YE74" s="147"/>
      <c r="YF74" s="147"/>
      <c r="YG74" s="147"/>
      <c r="YH74" s="147"/>
      <c r="YI74" s="147"/>
      <c r="YJ74" s="147"/>
      <c r="YK74" s="147"/>
      <c r="YL74" s="147"/>
      <c r="YM74" s="147"/>
      <c r="YN74" s="147"/>
      <c r="YO74" s="147"/>
      <c r="YP74" s="147"/>
      <c r="YQ74" s="147"/>
      <c r="YR74" s="147"/>
      <c r="YS74" s="147"/>
      <c r="YT74" s="147"/>
      <c r="YU74" s="147"/>
      <c r="YV74" s="147"/>
      <c r="YW74" s="147"/>
      <c r="YX74" s="147"/>
    </row>
    <row r="75" spans="1:674" s="238" customFormat="1" ht="23.1" customHeight="1">
      <c r="A75" s="156">
        <v>52</v>
      </c>
      <c r="B75" s="176" t="s">
        <v>609</v>
      </c>
      <c r="C75" s="156" t="s">
        <v>138</v>
      </c>
      <c r="D75" s="156"/>
      <c r="E75" s="153"/>
      <c r="F75" s="165"/>
      <c r="G75" s="156" t="s">
        <v>608</v>
      </c>
      <c r="H75" s="153"/>
      <c r="I75" s="156" t="s">
        <v>610</v>
      </c>
      <c r="J75" s="157" t="s">
        <v>8</v>
      </c>
      <c r="K75" s="176"/>
      <c r="L75" s="159" t="s">
        <v>611</v>
      </c>
      <c r="M75" s="156"/>
      <c r="N75" s="178"/>
      <c r="O75" s="237"/>
    </row>
    <row r="76" spans="1:674" s="238" customFormat="1" ht="23.1" customHeight="1">
      <c r="A76" s="156">
        <v>53</v>
      </c>
      <c r="B76" s="176" t="s">
        <v>612</v>
      </c>
      <c r="C76" s="156" t="s">
        <v>161</v>
      </c>
      <c r="D76" s="156"/>
      <c r="E76" s="153"/>
      <c r="F76" s="165"/>
      <c r="G76" s="156" t="s">
        <v>608</v>
      </c>
      <c r="H76" s="153"/>
      <c r="I76" s="156" t="s">
        <v>613</v>
      </c>
      <c r="J76" s="157" t="s">
        <v>442</v>
      </c>
      <c r="K76" s="172"/>
      <c r="L76" s="159" t="s">
        <v>614</v>
      </c>
      <c r="M76" s="156"/>
      <c r="N76" s="236"/>
      <c r="O76" s="237"/>
    </row>
    <row r="77" spans="1:674" s="238" customFormat="1" ht="23.1" customHeight="1">
      <c r="A77" s="156">
        <v>54</v>
      </c>
      <c r="B77" s="176" t="s">
        <v>615</v>
      </c>
      <c r="C77" s="156" t="s">
        <v>467</v>
      </c>
      <c r="D77" s="156"/>
      <c r="E77" s="153"/>
      <c r="F77" s="165"/>
      <c r="G77" s="156" t="s">
        <v>608</v>
      </c>
      <c r="H77" s="153"/>
      <c r="I77" s="156"/>
      <c r="J77" s="165"/>
      <c r="K77" s="172"/>
      <c r="L77" s="159"/>
      <c r="M77" s="156"/>
      <c r="N77" s="236"/>
      <c r="O77" s="237"/>
    </row>
    <row r="78" spans="1:674" s="238" customFormat="1" ht="23.1" customHeight="1">
      <c r="A78" s="156">
        <v>55</v>
      </c>
      <c r="B78" s="176" t="s">
        <v>616</v>
      </c>
      <c r="C78" s="156" t="s">
        <v>467</v>
      </c>
      <c r="D78" s="156"/>
      <c r="E78" s="153"/>
      <c r="F78" s="165"/>
      <c r="G78" s="156" t="s">
        <v>608</v>
      </c>
      <c r="H78" s="153"/>
      <c r="I78" s="156" t="s">
        <v>617</v>
      </c>
      <c r="J78" s="157" t="s">
        <v>8</v>
      </c>
      <c r="K78" s="172"/>
      <c r="L78" s="159" t="s">
        <v>618</v>
      </c>
      <c r="M78" s="156"/>
      <c r="N78" s="236"/>
      <c r="O78" s="237"/>
    </row>
    <row r="79" spans="1:674" s="238" customFormat="1" ht="23.1" customHeight="1">
      <c r="A79" s="156">
        <v>56</v>
      </c>
      <c r="B79" s="176" t="s">
        <v>619</v>
      </c>
      <c r="C79" s="156" t="s">
        <v>138</v>
      </c>
      <c r="D79" s="156"/>
      <c r="E79" s="153"/>
      <c r="F79" s="165"/>
      <c r="G79" s="156" t="s">
        <v>608</v>
      </c>
      <c r="H79" s="153"/>
      <c r="I79" s="156" t="s">
        <v>620</v>
      </c>
      <c r="J79" s="157" t="s">
        <v>8</v>
      </c>
      <c r="K79" s="172"/>
      <c r="L79" s="159" t="s">
        <v>621</v>
      </c>
      <c r="M79" s="156"/>
      <c r="N79" s="236"/>
      <c r="O79" s="237"/>
    </row>
    <row r="80" spans="1:674" s="238" customFormat="1" ht="23.1" customHeight="1">
      <c r="A80" s="156">
        <v>57</v>
      </c>
      <c r="B80" s="176" t="s">
        <v>622</v>
      </c>
      <c r="C80" s="156" t="s">
        <v>467</v>
      </c>
      <c r="D80" s="156"/>
      <c r="E80" s="153"/>
      <c r="F80" s="165"/>
      <c r="G80" s="156" t="s">
        <v>608</v>
      </c>
      <c r="H80" s="153"/>
      <c r="I80" s="156"/>
      <c r="J80" s="157"/>
      <c r="K80" s="172"/>
      <c r="L80" s="159"/>
      <c r="M80" s="156"/>
      <c r="N80" s="236"/>
      <c r="O80" s="237"/>
    </row>
    <row r="81" spans="1:674" s="238" customFormat="1" ht="23.1" customHeight="1">
      <c r="A81" s="156"/>
      <c r="B81" s="176"/>
      <c r="C81" s="156"/>
      <c r="D81" s="156"/>
      <c r="E81" s="153"/>
      <c r="F81" s="165"/>
      <c r="H81" s="153"/>
      <c r="I81" s="156"/>
      <c r="J81" s="165"/>
      <c r="K81" s="172"/>
      <c r="L81" s="159"/>
      <c r="M81" s="156"/>
      <c r="N81" s="236"/>
      <c r="O81" s="237"/>
    </row>
    <row r="82" spans="1:674" s="238" customFormat="1" ht="23.1" customHeight="1">
      <c r="A82" s="156"/>
      <c r="B82" s="148" t="s">
        <v>623</v>
      </c>
      <c r="C82" s="147"/>
      <c r="D82" s="171"/>
      <c r="E82" s="171"/>
      <c r="F82" s="147"/>
      <c r="G82" s="147"/>
      <c r="H82" s="171"/>
      <c r="I82" s="171"/>
      <c r="J82" s="149"/>
      <c r="K82" s="147"/>
      <c r="L82" s="174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7"/>
      <c r="AO82" s="147"/>
      <c r="AP82" s="147"/>
      <c r="AQ82" s="147"/>
      <c r="AR82" s="147"/>
      <c r="AS82" s="147"/>
      <c r="AT82" s="147"/>
      <c r="AU82" s="147"/>
      <c r="AV82" s="147"/>
      <c r="AW82" s="147"/>
      <c r="AX82" s="147"/>
      <c r="AY82" s="147"/>
      <c r="AZ82" s="147"/>
      <c r="BA82" s="147"/>
      <c r="BB82" s="147"/>
      <c r="BC82" s="147"/>
      <c r="BD82" s="147"/>
      <c r="BE82" s="147"/>
      <c r="BF82" s="147"/>
      <c r="BG82" s="147"/>
      <c r="BH82" s="147"/>
      <c r="BI82" s="147"/>
      <c r="BJ82" s="147"/>
      <c r="BK82" s="147"/>
      <c r="BL82" s="147"/>
      <c r="BM82" s="147"/>
      <c r="BN82" s="147"/>
      <c r="BO82" s="147"/>
      <c r="BP82" s="147"/>
      <c r="BQ82" s="147"/>
      <c r="BR82" s="147"/>
      <c r="BS82" s="147"/>
      <c r="BT82" s="147"/>
      <c r="BU82" s="147"/>
      <c r="BV82" s="147"/>
      <c r="BW82" s="147"/>
      <c r="BX82" s="147"/>
      <c r="BY82" s="147"/>
      <c r="BZ82" s="147"/>
      <c r="CA82" s="147"/>
      <c r="CB82" s="147"/>
      <c r="CC82" s="147"/>
      <c r="CD82" s="147"/>
      <c r="CE82" s="147"/>
      <c r="CF82" s="147"/>
      <c r="CG82" s="147"/>
      <c r="CH82" s="147"/>
      <c r="CI82" s="147"/>
      <c r="CJ82" s="147"/>
      <c r="CK82" s="147"/>
      <c r="CL82" s="147"/>
      <c r="CM82" s="147"/>
      <c r="CN82" s="147"/>
      <c r="CO82" s="147"/>
      <c r="CP82" s="147"/>
      <c r="CQ82" s="147"/>
      <c r="CR82" s="147"/>
      <c r="CS82" s="147"/>
      <c r="CT82" s="147"/>
      <c r="CU82" s="147"/>
      <c r="CV82" s="147"/>
      <c r="CW82" s="147"/>
      <c r="CX82" s="147"/>
      <c r="CY82" s="147"/>
      <c r="CZ82" s="147"/>
      <c r="DA82" s="147"/>
      <c r="DB82" s="147"/>
      <c r="DC82" s="147"/>
      <c r="DD82" s="147"/>
      <c r="DE82" s="147"/>
      <c r="DF82" s="147"/>
      <c r="DG82" s="147"/>
      <c r="DH82" s="147"/>
      <c r="DI82" s="147"/>
      <c r="DJ82" s="147"/>
      <c r="DK82" s="147"/>
      <c r="DL82" s="147"/>
      <c r="DM82" s="147"/>
      <c r="DN82" s="147"/>
      <c r="DO82" s="147"/>
      <c r="DP82" s="147"/>
      <c r="DQ82" s="147"/>
      <c r="DR82" s="147"/>
      <c r="DS82" s="147"/>
      <c r="DT82" s="147"/>
      <c r="DU82" s="147"/>
      <c r="DV82" s="147"/>
      <c r="DW82" s="147"/>
      <c r="DX82" s="147"/>
      <c r="DY82" s="147"/>
      <c r="DZ82" s="147"/>
      <c r="EA82" s="147"/>
      <c r="EB82" s="147"/>
      <c r="EC82" s="147"/>
      <c r="ED82" s="147"/>
      <c r="EE82" s="147"/>
      <c r="EF82" s="147"/>
      <c r="EG82" s="147"/>
      <c r="EH82" s="147"/>
      <c r="EI82" s="147"/>
      <c r="EJ82" s="147"/>
      <c r="EK82" s="147"/>
      <c r="EL82" s="147"/>
      <c r="EM82" s="147"/>
      <c r="EN82" s="147"/>
      <c r="EO82" s="147"/>
      <c r="EP82" s="147"/>
      <c r="EQ82" s="147"/>
      <c r="ER82" s="147"/>
      <c r="ES82" s="147"/>
      <c r="ET82" s="147"/>
      <c r="EU82" s="147"/>
      <c r="EV82" s="147"/>
      <c r="EW82" s="147"/>
      <c r="EX82" s="147"/>
      <c r="EY82" s="147"/>
      <c r="EZ82" s="147"/>
      <c r="FA82" s="147"/>
      <c r="FB82" s="147"/>
      <c r="FC82" s="147"/>
      <c r="FD82" s="147"/>
      <c r="FE82" s="147"/>
      <c r="FF82" s="147"/>
      <c r="FG82" s="147"/>
      <c r="FH82" s="147"/>
      <c r="FI82" s="147"/>
      <c r="FJ82" s="147"/>
      <c r="FK82" s="147"/>
      <c r="FL82" s="147"/>
      <c r="FM82" s="147"/>
      <c r="FN82" s="147"/>
      <c r="FO82" s="147"/>
      <c r="FP82" s="147"/>
      <c r="FQ82" s="147"/>
      <c r="FR82" s="147"/>
      <c r="FS82" s="147"/>
      <c r="FT82" s="147"/>
      <c r="FU82" s="147"/>
      <c r="FV82" s="147"/>
      <c r="FW82" s="147"/>
      <c r="FX82" s="147"/>
      <c r="FY82" s="147"/>
      <c r="FZ82" s="147"/>
      <c r="GA82" s="147"/>
      <c r="GB82" s="147"/>
      <c r="GC82" s="147"/>
      <c r="GD82" s="147"/>
      <c r="GE82" s="147"/>
      <c r="GF82" s="147"/>
      <c r="GG82" s="147"/>
      <c r="GH82" s="147"/>
      <c r="GI82" s="147"/>
      <c r="GJ82" s="147"/>
      <c r="GK82" s="147"/>
      <c r="GL82" s="147"/>
      <c r="GM82" s="147"/>
      <c r="GN82" s="147"/>
      <c r="GO82" s="147"/>
      <c r="GP82" s="147"/>
      <c r="GQ82" s="147"/>
      <c r="GR82" s="147"/>
      <c r="GS82" s="147"/>
      <c r="GT82" s="147"/>
      <c r="GU82" s="147"/>
      <c r="GV82" s="147"/>
      <c r="GW82" s="147"/>
      <c r="GX82" s="147"/>
      <c r="GY82" s="147"/>
      <c r="GZ82" s="147"/>
      <c r="HA82" s="147"/>
      <c r="HB82" s="147"/>
      <c r="HC82" s="147"/>
      <c r="HD82" s="147"/>
      <c r="HE82" s="147"/>
      <c r="HF82" s="147"/>
      <c r="HG82" s="147"/>
      <c r="HH82" s="147"/>
      <c r="HI82" s="147"/>
      <c r="HJ82" s="147"/>
      <c r="HK82" s="147"/>
      <c r="HL82" s="147"/>
      <c r="HM82" s="147"/>
      <c r="HN82" s="147"/>
      <c r="HO82" s="147"/>
      <c r="HP82" s="147"/>
      <c r="HQ82" s="147"/>
      <c r="HR82" s="147"/>
      <c r="HS82" s="147"/>
      <c r="HT82" s="147"/>
      <c r="HU82" s="147"/>
      <c r="HV82" s="147"/>
      <c r="HW82" s="147"/>
      <c r="HX82" s="147"/>
      <c r="HY82" s="147"/>
      <c r="HZ82" s="147"/>
      <c r="IA82" s="147"/>
      <c r="IB82" s="147"/>
      <c r="IC82" s="147"/>
      <c r="ID82" s="147"/>
      <c r="IE82" s="147"/>
      <c r="IF82" s="147"/>
      <c r="IG82" s="147"/>
      <c r="IH82" s="147"/>
      <c r="II82" s="147"/>
      <c r="IJ82" s="147"/>
      <c r="IK82" s="147"/>
      <c r="IL82" s="147"/>
      <c r="IM82" s="147"/>
      <c r="IN82" s="147"/>
      <c r="IO82" s="147"/>
      <c r="IP82" s="147"/>
      <c r="IQ82" s="147"/>
      <c r="IR82" s="147"/>
      <c r="IS82" s="147"/>
      <c r="IT82" s="147"/>
      <c r="IU82" s="147"/>
      <c r="IV82" s="147"/>
      <c r="IW82" s="147"/>
      <c r="IX82" s="147"/>
      <c r="IY82" s="147"/>
      <c r="IZ82" s="147"/>
      <c r="JA82" s="147"/>
      <c r="JB82" s="147"/>
      <c r="JC82" s="147"/>
      <c r="JD82" s="147"/>
      <c r="JE82" s="147"/>
      <c r="JF82" s="147"/>
      <c r="JG82" s="147"/>
      <c r="JH82" s="147"/>
      <c r="JI82" s="147"/>
      <c r="JJ82" s="147"/>
      <c r="JK82" s="147"/>
      <c r="JL82" s="147"/>
      <c r="JM82" s="147"/>
      <c r="JN82" s="147"/>
      <c r="JO82" s="147"/>
      <c r="JP82" s="147"/>
      <c r="JQ82" s="147"/>
      <c r="JR82" s="147"/>
      <c r="JS82" s="147"/>
      <c r="JT82" s="147"/>
      <c r="JU82" s="147"/>
      <c r="JV82" s="147"/>
      <c r="JW82" s="147"/>
      <c r="JX82" s="147"/>
      <c r="JY82" s="147"/>
      <c r="JZ82" s="147"/>
      <c r="KA82" s="147"/>
      <c r="KB82" s="147"/>
      <c r="KC82" s="147"/>
      <c r="KD82" s="147"/>
      <c r="KE82" s="147"/>
      <c r="KF82" s="147"/>
      <c r="KG82" s="147"/>
      <c r="KH82" s="147"/>
      <c r="KI82" s="147"/>
      <c r="KJ82" s="147"/>
      <c r="KK82" s="147"/>
      <c r="KL82" s="147"/>
      <c r="KM82" s="147"/>
      <c r="KN82" s="147"/>
      <c r="KO82" s="147"/>
      <c r="KP82" s="147"/>
      <c r="KQ82" s="147"/>
      <c r="KR82" s="147"/>
      <c r="KS82" s="147"/>
      <c r="KT82" s="147"/>
      <c r="KU82" s="147"/>
      <c r="KV82" s="147"/>
      <c r="KW82" s="147"/>
      <c r="KX82" s="147"/>
      <c r="KY82" s="147"/>
      <c r="KZ82" s="147"/>
      <c r="LA82" s="147"/>
      <c r="LB82" s="147"/>
      <c r="LC82" s="147"/>
      <c r="LD82" s="147"/>
      <c r="LE82" s="147"/>
      <c r="LF82" s="147"/>
      <c r="LG82" s="147"/>
      <c r="LH82" s="147"/>
      <c r="LI82" s="147"/>
      <c r="LJ82" s="147"/>
      <c r="LK82" s="147"/>
      <c r="LL82" s="147"/>
      <c r="LM82" s="147"/>
      <c r="LN82" s="147"/>
      <c r="LO82" s="147"/>
      <c r="LP82" s="147"/>
      <c r="LQ82" s="147"/>
      <c r="LR82" s="147"/>
      <c r="LS82" s="147"/>
      <c r="LT82" s="147"/>
      <c r="LU82" s="147"/>
      <c r="LV82" s="147"/>
      <c r="LW82" s="147"/>
      <c r="LX82" s="147"/>
      <c r="LY82" s="147"/>
      <c r="LZ82" s="147"/>
      <c r="MA82" s="147"/>
      <c r="MB82" s="147"/>
      <c r="MC82" s="147"/>
      <c r="MD82" s="147"/>
      <c r="ME82" s="147"/>
      <c r="MF82" s="147"/>
      <c r="MG82" s="147"/>
      <c r="MH82" s="147"/>
      <c r="MI82" s="147"/>
      <c r="MJ82" s="147"/>
      <c r="MK82" s="147"/>
      <c r="ML82" s="147"/>
      <c r="MM82" s="147"/>
      <c r="MN82" s="147"/>
      <c r="MO82" s="147"/>
      <c r="MP82" s="147"/>
      <c r="MQ82" s="147"/>
      <c r="MR82" s="147"/>
      <c r="MS82" s="147"/>
      <c r="MT82" s="147"/>
      <c r="MU82" s="147"/>
      <c r="MV82" s="147"/>
      <c r="MW82" s="147"/>
      <c r="MX82" s="147"/>
      <c r="MY82" s="147"/>
      <c r="MZ82" s="147"/>
      <c r="NA82" s="147"/>
      <c r="NB82" s="147"/>
      <c r="NC82" s="147"/>
      <c r="ND82" s="147"/>
      <c r="NE82" s="147"/>
      <c r="NF82" s="147"/>
      <c r="NG82" s="147"/>
      <c r="NH82" s="147"/>
      <c r="NI82" s="147"/>
      <c r="NJ82" s="147"/>
      <c r="NK82" s="147"/>
      <c r="NL82" s="147"/>
      <c r="NM82" s="147"/>
      <c r="NN82" s="147"/>
      <c r="NO82" s="147"/>
      <c r="NP82" s="147"/>
      <c r="NQ82" s="147"/>
      <c r="NR82" s="147"/>
      <c r="NS82" s="147"/>
      <c r="NT82" s="147"/>
      <c r="NU82" s="147"/>
      <c r="NV82" s="147"/>
      <c r="NW82" s="147"/>
      <c r="NX82" s="147"/>
      <c r="NY82" s="147"/>
      <c r="NZ82" s="147"/>
      <c r="OA82" s="147"/>
      <c r="OB82" s="147"/>
      <c r="OC82" s="147"/>
      <c r="OD82" s="147"/>
      <c r="OE82" s="147"/>
      <c r="OF82" s="147"/>
      <c r="OG82" s="147"/>
      <c r="OH82" s="147"/>
      <c r="OI82" s="147"/>
      <c r="OJ82" s="147"/>
      <c r="OK82" s="147"/>
      <c r="OL82" s="147"/>
      <c r="OM82" s="147"/>
      <c r="ON82" s="147"/>
      <c r="OO82" s="147"/>
      <c r="OP82" s="147"/>
      <c r="OQ82" s="147"/>
      <c r="OR82" s="147"/>
      <c r="OS82" s="147"/>
      <c r="OT82" s="147"/>
      <c r="OU82" s="147"/>
      <c r="OV82" s="147"/>
      <c r="OW82" s="147"/>
      <c r="OX82" s="147"/>
      <c r="OY82" s="147"/>
      <c r="OZ82" s="147"/>
      <c r="PA82" s="147"/>
      <c r="PB82" s="147"/>
      <c r="PC82" s="147"/>
      <c r="PD82" s="147"/>
      <c r="PE82" s="147"/>
      <c r="PF82" s="147"/>
      <c r="PG82" s="147"/>
      <c r="PH82" s="147"/>
      <c r="PI82" s="147"/>
      <c r="PJ82" s="147"/>
      <c r="PK82" s="147"/>
      <c r="PL82" s="147"/>
      <c r="PM82" s="147"/>
      <c r="PN82" s="147"/>
      <c r="PO82" s="147"/>
      <c r="PP82" s="147"/>
      <c r="PQ82" s="147"/>
      <c r="PR82" s="147"/>
      <c r="PS82" s="147"/>
      <c r="PT82" s="147"/>
      <c r="PU82" s="147"/>
      <c r="PV82" s="147"/>
      <c r="PW82" s="147"/>
      <c r="PX82" s="147"/>
      <c r="PY82" s="147"/>
      <c r="PZ82" s="147"/>
      <c r="QA82" s="147"/>
      <c r="QB82" s="147"/>
      <c r="QC82" s="147"/>
      <c r="QD82" s="147"/>
      <c r="QE82" s="147"/>
      <c r="QF82" s="147"/>
      <c r="QG82" s="147"/>
      <c r="QH82" s="147"/>
      <c r="QI82" s="147"/>
      <c r="QJ82" s="147"/>
      <c r="QK82" s="147"/>
      <c r="QL82" s="147"/>
      <c r="QM82" s="147"/>
      <c r="QN82" s="147"/>
      <c r="QO82" s="147"/>
      <c r="QP82" s="147"/>
      <c r="QQ82" s="147"/>
      <c r="QR82" s="147"/>
      <c r="QS82" s="147"/>
      <c r="QT82" s="147"/>
      <c r="QU82" s="147"/>
      <c r="QV82" s="147"/>
      <c r="QW82" s="147"/>
      <c r="QX82" s="147"/>
      <c r="QY82" s="147"/>
      <c r="QZ82" s="147"/>
      <c r="RA82" s="147"/>
      <c r="RB82" s="147"/>
      <c r="RC82" s="147"/>
      <c r="RD82" s="147"/>
      <c r="RE82" s="147"/>
      <c r="RF82" s="147"/>
      <c r="RG82" s="147"/>
      <c r="RH82" s="147"/>
      <c r="RI82" s="147"/>
      <c r="RJ82" s="147"/>
      <c r="RK82" s="147"/>
      <c r="RL82" s="147"/>
      <c r="RM82" s="147"/>
      <c r="RN82" s="147"/>
      <c r="RO82" s="147"/>
      <c r="RP82" s="147"/>
      <c r="RQ82" s="147"/>
      <c r="RR82" s="147"/>
      <c r="RS82" s="147"/>
      <c r="RT82" s="147"/>
      <c r="RU82" s="147"/>
      <c r="RV82" s="147"/>
      <c r="RW82" s="147"/>
      <c r="RX82" s="147"/>
      <c r="RY82" s="147"/>
      <c r="RZ82" s="147"/>
      <c r="SA82" s="147"/>
      <c r="SB82" s="147"/>
      <c r="SC82" s="147"/>
      <c r="SD82" s="147"/>
      <c r="SE82" s="147"/>
      <c r="SF82" s="147"/>
      <c r="SG82" s="147"/>
      <c r="SH82" s="147"/>
      <c r="SI82" s="147"/>
      <c r="SJ82" s="147"/>
      <c r="SK82" s="147"/>
      <c r="SL82" s="147"/>
      <c r="SM82" s="147"/>
      <c r="SN82" s="147"/>
      <c r="SO82" s="147"/>
      <c r="SP82" s="147"/>
      <c r="SQ82" s="147"/>
      <c r="SR82" s="147"/>
      <c r="SS82" s="147"/>
      <c r="ST82" s="147"/>
      <c r="SU82" s="147"/>
      <c r="SV82" s="147"/>
      <c r="SW82" s="147"/>
      <c r="SX82" s="147"/>
      <c r="SY82" s="147"/>
      <c r="SZ82" s="147"/>
      <c r="TA82" s="147"/>
      <c r="TB82" s="147"/>
      <c r="TC82" s="147"/>
      <c r="TD82" s="147"/>
      <c r="TE82" s="147"/>
      <c r="TF82" s="147"/>
      <c r="TG82" s="147"/>
      <c r="TH82" s="147"/>
      <c r="TI82" s="147"/>
      <c r="TJ82" s="147"/>
      <c r="TK82" s="147"/>
      <c r="TL82" s="147"/>
      <c r="TM82" s="147"/>
      <c r="TN82" s="147"/>
      <c r="TO82" s="147"/>
      <c r="TP82" s="147"/>
      <c r="TQ82" s="147"/>
      <c r="TR82" s="147"/>
      <c r="TS82" s="147"/>
      <c r="TT82" s="147"/>
      <c r="TU82" s="147"/>
      <c r="TV82" s="147"/>
      <c r="TW82" s="147"/>
      <c r="TX82" s="147"/>
      <c r="TY82" s="147"/>
      <c r="TZ82" s="147"/>
      <c r="UA82" s="147"/>
      <c r="UB82" s="147"/>
      <c r="UC82" s="147"/>
      <c r="UD82" s="147"/>
      <c r="UE82" s="147"/>
      <c r="UF82" s="147"/>
      <c r="UG82" s="147"/>
      <c r="UH82" s="147"/>
      <c r="UI82" s="147"/>
      <c r="UJ82" s="147"/>
      <c r="UK82" s="147"/>
      <c r="UL82" s="147"/>
      <c r="UM82" s="147"/>
      <c r="UN82" s="147"/>
      <c r="UO82" s="147"/>
      <c r="UP82" s="147"/>
      <c r="UQ82" s="147"/>
      <c r="UR82" s="147"/>
      <c r="US82" s="147"/>
      <c r="UT82" s="147"/>
      <c r="UU82" s="147"/>
      <c r="UV82" s="147"/>
      <c r="UW82" s="147"/>
      <c r="UX82" s="147"/>
      <c r="UY82" s="147"/>
      <c r="UZ82" s="147"/>
      <c r="VA82" s="147"/>
      <c r="VB82" s="147"/>
      <c r="VC82" s="147"/>
      <c r="VD82" s="147"/>
      <c r="VE82" s="147"/>
      <c r="VF82" s="147"/>
      <c r="VG82" s="147"/>
      <c r="VH82" s="147"/>
      <c r="VI82" s="147"/>
      <c r="VJ82" s="147"/>
      <c r="VK82" s="147"/>
      <c r="VL82" s="147"/>
      <c r="VM82" s="147"/>
      <c r="VN82" s="147"/>
      <c r="VO82" s="147"/>
      <c r="VP82" s="147"/>
      <c r="VQ82" s="147"/>
      <c r="VR82" s="147"/>
      <c r="VS82" s="147"/>
      <c r="VT82" s="147"/>
      <c r="VU82" s="147"/>
      <c r="VV82" s="147"/>
      <c r="VW82" s="147"/>
      <c r="VX82" s="147"/>
      <c r="VY82" s="147"/>
      <c r="VZ82" s="147"/>
      <c r="WA82" s="147"/>
      <c r="WB82" s="147"/>
      <c r="WC82" s="147"/>
      <c r="WD82" s="147"/>
      <c r="WE82" s="147"/>
      <c r="WF82" s="147"/>
      <c r="WG82" s="147"/>
      <c r="WH82" s="147"/>
      <c r="WI82" s="147"/>
      <c r="WJ82" s="147"/>
      <c r="WK82" s="147"/>
      <c r="WL82" s="147"/>
      <c r="WM82" s="147"/>
      <c r="WN82" s="147"/>
      <c r="WO82" s="147"/>
      <c r="WP82" s="147"/>
      <c r="WQ82" s="147"/>
      <c r="WR82" s="147"/>
      <c r="WS82" s="147"/>
      <c r="WT82" s="147"/>
      <c r="WU82" s="147"/>
      <c r="WV82" s="147"/>
      <c r="WW82" s="147"/>
      <c r="WX82" s="147"/>
      <c r="WY82" s="147"/>
      <c r="WZ82" s="147"/>
      <c r="XA82" s="147"/>
      <c r="XB82" s="147"/>
      <c r="XC82" s="147"/>
      <c r="XD82" s="147"/>
      <c r="XE82" s="147"/>
      <c r="XF82" s="147"/>
      <c r="XG82" s="147"/>
      <c r="XH82" s="147"/>
      <c r="XI82" s="147"/>
      <c r="XJ82" s="147"/>
      <c r="XK82" s="147"/>
      <c r="XL82" s="147"/>
      <c r="XM82" s="147"/>
      <c r="XN82" s="147"/>
      <c r="XO82" s="147"/>
      <c r="XP82" s="147"/>
      <c r="XQ82" s="147"/>
      <c r="XR82" s="147"/>
      <c r="XS82" s="147"/>
      <c r="XT82" s="147"/>
      <c r="XU82" s="147"/>
      <c r="XV82" s="147"/>
      <c r="XW82" s="147"/>
      <c r="XX82" s="147"/>
      <c r="XY82" s="147"/>
      <c r="XZ82" s="147"/>
      <c r="YA82" s="147"/>
      <c r="YB82" s="147"/>
      <c r="YC82" s="147"/>
      <c r="YD82" s="147"/>
      <c r="YE82" s="147"/>
      <c r="YF82" s="147"/>
      <c r="YG82" s="147"/>
      <c r="YH82" s="147"/>
      <c r="YI82" s="147"/>
      <c r="YJ82" s="147"/>
      <c r="YK82" s="147"/>
      <c r="YL82" s="147"/>
      <c r="YM82" s="147"/>
      <c r="YN82" s="147"/>
      <c r="YO82" s="147"/>
      <c r="YP82" s="147"/>
      <c r="YQ82" s="147"/>
      <c r="YR82" s="147"/>
      <c r="YS82" s="147"/>
      <c r="YT82" s="147"/>
      <c r="YU82" s="147"/>
      <c r="YV82" s="147"/>
      <c r="YW82" s="147"/>
      <c r="YX82" s="147"/>
    </row>
    <row r="83" spans="1:674" s="238" customFormat="1" ht="23.1" customHeight="1">
      <c r="A83" s="156">
        <v>58</v>
      </c>
      <c r="B83" s="176" t="s">
        <v>624</v>
      </c>
      <c r="C83" s="156" t="s">
        <v>467</v>
      </c>
      <c r="D83" s="156"/>
      <c r="E83" s="153"/>
      <c r="F83" s="165"/>
      <c r="G83" s="238" t="s">
        <v>625</v>
      </c>
      <c r="H83" s="153"/>
      <c r="I83" s="156" t="s">
        <v>626</v>
      </c>
      <c r="J83" s="157" t="s">
        <v>442</v>
      </c>
      <c r="K83" s="172"/>
      <c r="L83" s="159" t="s">
        <v>627</v>
      </c>
      <c r="M83" s="156"/>
      <c r="N83" s="236"/>
      <c r="O83" s="237"/>
    </row>
    <row r="84" spans="1:674" s="238" customFormat="1" ht="23.1" customHeight="1">
      <c r="A84" s="156">
        <v>59</v>
      </c>
      <c r="B84" s="176" t="s">
        <v>628</v>
      </c>
      <c r="C84" s="156" t="s">
        <v>467</v>
      </c>
      <c r="D84" s="156"/>
      <c r="E84" s="153"/>
      <c r="F84" s="165"/>
      <c r="G84" s="156" t="s">
        <v>629</v>
      </c>
      <c r="H84" s="153"/>
      <c r="I84" s="156" t="s">
        <v>630</v>
      </c>
      <c r="J84" s="157" t="s">
        <v>8</v>
      </c>
      <c r="K84" s="172"/>
      <c r="L84" s="159" t="s">
        <v>631</v>
      </c>
      <c r="M84" s="156"/>
      <c r="N84" s="236"/>
      <c r="O84" s="237"/>
    </row>
    <row r="85" spans="1:674" s="238" customFormat="1" ht="23.1" customHeight="1">
      <c r="A85" s="156">
        <v>60</v>
      </c>
      <c r="B85" s="176" t="s">
        <v>632</v>
      </c>
      <c r="C85" s="156" t="s">
        <v>161</v>
      </c>
      <c r="D85" s="153"/>
      <c r="E85" s="153"/>
      <c r="F85" s="165" t="s">
        <v>633</v>
      </c>
      <c r="G85" s="238" t="s">
        <v>625</v>
      </c>
      <c r="H85" s="153"/>
      <c r="I85" s="156" t="s">
        <v>634</v>
      </c>
      <c r="J85" s="157" t="s">
        <v>8</v>
      </c>
      <c r="K85" s="177"/>
      <c r="L85" s="159" t="s">
        <v>635</v>
      </c>
      <c r="M85" s="156"/>
      <c r="N85" s="236" t="s">
        <v>636</v>
      </c>
      <c r="O85" s="237"/>
    </row>
    <row r="86" spans="1:674" s="238" customFormat="1" ht="23.1" customHeight="1">
      <c r="A86" s="156">
        <v>61</v>
      </c>
      <c r="B86" s="176" t="s">
        <v>637</v>
      </c>
      <c r="C86" s="156"/>
      <c r="D86" s="153"/>
      <c r="E86" s="153"/>
      <c r="F86" s="165"/>
      <c r="H86" s="153"/>
      <c r="I86" s="156"/>
      <c r="J86" s="157"/>
      <c r="K86" s="177"/>
      <c r="L86" s="159"/>
      <c r="M86" s="156"/>
      <c r="N86" s="236"/>
      <c r="O86" s="237"/>
    </row>
    <row r="87" spans="1:674" s="238" customFormat="1" ht="23.1" customHeight="1">
      <c r="A87" s="156">
        <v>62</v>
      </c>
      <c r="B87" s="176" t="s">
        <v>638</v>
      </c>
      <c r="C87" s="156"/>
      <c r="D87" s="153"/>
      <c r="E87" s="153"/>
      <c r="F87" s="165"/>
      <c r="G87" s="238" t="s">
        <v>639</v>
      </c>
      <c r="H87" s="153"/>
      <c r="I87" s="156"/>
      <c r="J87" s="157"/>
      <c r="K87" s="177"/>
      <c r="L87" s="159"/>
      <c r="M87" s="156"/>
      <c r="N87" s="236"/>
      <c r="O87" s="237"/>
    </row>
    <row r="88" spans="1:674" s="238" customFormat="1" ht="23.1" customHeight="1">
      <c r="A88" s="156">
        <v>63</v>
      </c>
      <c r="B88" s="176" t="s">
        <v>640</v>
      </c>
      <c r="C88" s="156"/>
      <c r="D88" s="153"/>
      <c r="E88" s="153"/>
      <c r="F88" s="165"/>
      <c r="H88" s="153"/>
      <c r="I88" s="156"/>
      <c r="J88" s="157"/>
      <c r="K88" s="177"/>
      <c r="L88" s="159"/>
      <c r="M88" s="156"/>
      <c r="N88" s="236"/>
      <c r="O88" s="237"/>
    </row>
    <row r="89" spans="1:674" s="238" customFormat="1" ht="23.1" customHeight="1">
      <c r="A89" s="156">
        <v>64</v>
      </c>
      <c r="B89" s="176" t="s">
        <v>641</v>
      </c>
      <c r="C89" s="156"/>
      <c r="D89" s="153"/>
      <c r="E89" s="153"/>
      <c r="F89" s="165"/>
      <c r="H89" s="153"/>
      <c r="I89" s="156"/>
      <c r="J89" s="157"/>
      <c r="K89" s="177"/>
      <c r="L89" s="159"/>
      <c r="M89" s="156"/>
      <c r="N89" s="236"/>
      <c r="O89" s="237"/>
    </row>
    <row r="90" spans="1:674" s="238" customFormat="1" ht="23.1" customHeight="1">
      <c r="A90" s="156">
        <v>65</v>
      </c>
      <c r="B90" s="176" t="s">
        <v>642</v>
      </c>
      <c r="C90" s="156"/>
      <c r="D90" s="153"/>
      <c r="E90" s="153"/>
      <c r="F90" s="165"/>
      <c r="G90" s="238" t="s">
        <v>639</v>
      </c>
      <c r="H90" s="153"/>
      <c r="I90" s="156" t="s">
        <v>643</v>
      </c>
      <c r="J90" s="157" t="s">
        <v>442</v>
      </c>
      <c r="K90" s="177"/>
      <c r="L90" s="159" t="s">
        <v>644</v>
      </c>
      <c r="M90" s="156"/>
      <c r="N90" s="236"/>
      <c r="O90" s="237"/>
    </row>
    <row r="91" spans="1:674" s="238" customFormat="1" ht="23.1" customHeight="1">
      <c r="A91" s="156">
        <v>66</v>
      </c>
      <c r="B91" s="176" t="s">
        <v>645</v>
      </c>
      <c r="C91" s="156"/>
      <c r="D91" s="153"/>
      <c r="E91" s="153"/>
      <c r="F91" s="165"/>
      <c r="G91" s="238" t="s">
        <v>639</v>
      </c>
      <c r="H91" s="153"/>
      <c r="I91" s="156" t="s">
        <v>646</v>
      </c>
      <c r="J91" s="157" t="s">
        <v>647</v>
      </c>
      <c r="K91" s="177"/>
      <c r="L91" s="159"/>
      <c r="M91" s="156"/>
      <c r="N91" s="236"/>
      <c r="O91" s="237"/>
    </row>
    <row r="92" spans="1:674" s="238" customFormat="1" ht="23.1" customHeight="1">
      <c r="A92" s="156"/>
      <c r="B92" s="176"/>
      <c r="C92" s="156"/>
      <c r="D92" s="156"/>
      <c r="E92" s="153"/>
      <c r="F92" s="165"/>
      <c r="H92" s="153"/>
      <c r="I92" s="156"/>
      <c r="J92" s="165"/>
      <c r="K92" s="172"/>
      <c r="L92" s="159"/>
      <c r="M92" s="156"/>
      <c r="N92" s="236"/>
      <c r="O92" s="237"/>
    </row>
    <row r="93" spans="1:674" s="238" customFormat="1" ht="23.1" customHeight="1">
      <c r="A93" s="156"/>
      <c r="B93" s="176"/>
      <c r="C93" s="156"/>
      <c r="D93" s="156"/>
      <c r="E93" s="153"/>
      <c r="F93" s="165"/>
      <c r="H93" s="153"/>
      <c r="I93" s="156"/>
      <c r="J93" s="165"/>
      <c r="K93" s="172"/>
      <c r="L93" s="159"/>
      <c r="M93" s="156"/>
      <c r="N93" s="236"/>
      <c r="O93" s="237"/>
    </row>
    <row r="94" spans="1:674" s="238" customFormat="1" ht="23.1" customHeight="1">
      <c r="A94" s="166"/>
      <c r="B94" s="148" t="s">
        <v>648</v>
      </c>
      <c r="C94" s="147"/>
      <c r="D94" s="171"/>
      <c r="E94" s="171"/>
      <c r="F94" s="147"/>
      <c r="G94" s="147"/>
      <c r="H94" s="171"/>
      <c r="I94" s="171"/>
      <c r="J94" s="149"/>
      <c r="K94" s="147"/>
      <c r="L94" s="174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AR94" s="147"/>
      <c r="AS94" s="147"/>
      <c r="AT94" s="147"/>
      <c r="AU94" s="147"/>
      <c r="AV94" s="147"/>
      <c r="AW94" s="147"/>
      <c r="AX94" s="147"/>
      <c r="AY94" s="147"/>
      <c r="AZ94" s="147"/>
      <c r="BA94" s="147"/>
      <c r="BB94" s="147"/>
      <c r="BC94" s="147"/>
      <c r="BD94" s="147"/>
      <c r="BE94" s="147"/>
      <c r="BF94" s="147"/>
      <c r="BG94" s="147"/>
      <c r="BH94" s="147"/>
      <c r="BI94" s="147"/>
      <c r="BJ94" s="147"/>
      <c r="BK94" s="147"/>
      <c r="BL94" s="147"/>
      <c r="BM94" s="147"/>
      <c r="BN94" s="147"/>
      <c r="BO94" s="147"/>
      <c r="BP94" s="147"/>
      <c r="BQ94" s="147"/>
      <c r="BR94" s="147"/>
      <c r="BS94" s="147"/>
      <c r="BT94" s="147"/>
      <c r="BU94" s="147"/>
      <c r="BV94" s="147"/>
      <c r="BW94" s="147"/>
      <c r="BX94" s="147"/>
      <c r="BY94" s="147"/>
      <c r="BZ94" s="147"/>
      <c r="CA94" s="147"/>
      <c r="CB94" s="147"/>
      <c r="CC94" s="147"/>
      <c r="CD94" s="147"/>
      <c r="CE94" s="147"/>
      <c r="CF94" s="147"/>
      <c r="CG94" s="147"/>
      <c r="CH94" s="147"/>
      <c r="CI94" s="147"/>
      <c r="CJ94" s="147"/>
      <c r="CK94" s="147"/>
      <c r="CL94" s="147"/>
      <c r="CM94" s="147"/>
      <c r="CN94" s="147"/>
      <c r="CO94" s="147"/>
      <c r="CP94" s="147"/>
      <c r="CQ94" s="147"/>
      <c r="CR94" s="147"/>
      <c r="CS94" s="147"/>
      <c r="CT94" s="147"/>
      <c r="CU94" s="147"/>
      <c r="CV94" s="147"/>
      <c r="CW94" s="147"/>
      <c r="CX94" s="147"/>
      <c r="CY94" s="147"/>
      <c r="CZ94" s="147"/>
      <c r="DA94" s="147"/>
      <c r="DB94" s="147"/>
      <c r="DC94" s="147"/>
      <c r="DD94" s="147"/>
      <c r="DE94" s="147"/>
      <c r="DF94" s="147"/>
      <c r="DG94" s="147"/>
      <c r="DH94" s="147"/>
      <c r="DI94" s="147"/>
      <c r="DJ94" s="147"/>
      <c r="DK94" s="147"/>
      <c r="DL94" s="147"/>
      <c r="DM94" s="147"/>
      <c r="DN94" s="147"/>
      <c r="DO94" s="147"/>
      <c r="DP94" s="147"/>
      <c r="DQ94" s="147"/>
      <c r="DR94" s="147"/>
      <c r="DS94" s="147"/>
      <c r="DT94" s="147"/>
      <c r="DU94" s="147"/>
      <c r="DV94" s="147"/>
      <c r="DW94" s="147"/>
      <c r="DX94" s="147"/>
      <c r="DY94" s="147"/>
      <c r="DZ94" s="147"/>
      <c r="EA94" s="147"/>
      <c r="EB94" s="147"/>
      <c r="EC94" s="147"/>
      <c r="ED94" s="147"/>
      <c r="EE94" s="147"/>
      <c r="EF94" s="147"/>
      <c r="EG94" s="147"/>
      <c r="EH94" s="147"/>
      <c r="EI94" s="147"/>
      <c r="EJ94" s="147"/>
      <c r="EK94" s="147"/>
      <c r="EL94" s="147"/>
      <c r="EM94" s="147"/>
      <c r="EN94" s="147"/>
      <c r="EO94" s="147"/>
      <c r="EP94" s="147"/>
      <c r="EQ94" s="147"/>
      <c r="ER94" s="147"/>
      <c r="ES94" s="147"/>
      <c r="ET94" s="147"/>
      <c r="EU94" s="147"/>
      <c r="EV94" s="147"/>
      <c r="EW94" s="147"/>
      <c r="EX94" s="147"/>
      <c r="EY94" s="147"/>
      <c r="EZ94" s="147"/>
      <c r="FA94" s="147"/>
      <c r="FB94" s="147"/>
      <c r="FC94" s="147"/>
      <c r="FD94" s="147"/>
      <c r="FE94" s="147"/>
      <c r="FF94" s="147"/>
      <c r="FG94" s="147"/>
      <c r="FH94" s="147"/>
      <c r="FI94" s="147"/>
      <c r="FJ94" s="147"/>
      <c r="FK94" s="147"/>
      <c r="FL94" s="147"/>
      <c r="FM94" s="147"/>
      <c r="FN94" s="147"/>
      <c r="FO94" s="147"/>
      <c r="FP94" s="147"/>
      <c r="FQ94" s="147"/>
      <c r="FR94" s="147"/>
      <c r="FS94" s="147"/>
      <c r="FT94" s="147"/>
      <c r="FU94" s="147"/>
      <c r="FV94" s="147"/>
      <c r="FW94" s="147"/>
      <c r="FX94" s="147"/>
      <c r="FY94" s="147"/>
      <c r="FZ94" s="147"/>
      <c r="GA94" s="147"/>
      <c r="GB94" s="147"/>
      <c r="GC94" s="147"/>
      <c r="GD94" s="147"/>
      <c r="GE94" s="147"/>
      <c r="GF94" s="147"/>
      <c r="GG94" s="147"/>
      <c r="GH94" s="147"/>
      <c r="GI94" s="147"/>
      <c r="GJ94" s="147"/>
      <c r="GK94" s="147"/>
      <c r="GL94" s="147"/>
      <c r="GM94" s="147"/>
      <c r="GN94" s="147"/>
      <c r="GO94" s="147"/>
      <c r="GP94" s="147"/>
      <c r="GQ94" s="147"/>
      <c r="GR94" s="147"/>
      <c r="GS94" s="147"/>
      <c r="GT94" s="147"/>
      <c r="GU94" s="147"/>
      <c r="GV94" s="147"/>
      <c r="GW94" s="147"/>
      <c r="GX94" s="147"/>
      <c r="GY94" s="147"/>
      <c r="GZ94" s="147"/>
      <c r="HA94" s="147"/>
      <c r="HB94" s="147"/>
      <c r="HC94" s="147"/>
      <c r="HD94" s="147"/>
      <c r="HE94" s="147"/>
      <c r="HF94" s="147"/>
      <c r="HG94" s="147"/>
      <c r="HH94" s="147"/>
      <c r="HI94" s="147"/>
      <c r="HJ94" s="147"/>
      <c r="HK94" s="147"/>
      <c r="HL94" s="147"/>
      <c r="HM94" s="147"/>
      <c r="HN94" s="147"/>
      <c r="HO94" s="147"/>
      <c r="HP94" s="147"/>
      <c r="HQ94" s="147"/>
      <c r="HR94" s="147"/>
      <c r="HS94" s="147"/>
      <c r="HT94" s="147"/>
      <c r="HU94" s="147"/>
      <c r="HV94" s="147"/>
      <c r="HW94" s="147"/>
      <c r="HX94" s="147"/>
      <c r="HY94" s="147"/>
      <c r="HZ94" s="147"/>
      <c r="IA94" s="147"/>
      <c r="IB94" s="147"/>
      <c r="IC94" s="147"/>
      <c r="ID94" s="147"/>
      <c r="IE94" s="147"/>
      <c r="IF94" s="147"/>
      <c r="IG94" s="147"/>
      <c r="IH94" s="147"/>
      <c r="II94" s="147"/>
      <c r="IJ94" s="147"/>
      <c r="IK94" s="147"/>
      <c r="IL94" s="147"/>
      <c r="IM94" s="147"/>
      <c r="IN94" s="147"/>
      <c r="IO94" s="147"/>
      <c r="IP94" s="147"/>
      <c r="IQ94" s="147"/>
      <c r="IR94" s="147"/>
      <c r="IS94" s="147"/>
      <c r="IT94" s="147"/>
      <c r="IU94" s="147"/>
      <c r="IV94" s="147"/>
      <c r="IW94" s="147"/>
      <c r="IX94" s="147"/>
      <c r="IY94" s="147"/>
      <c r="IZ94" s="147"/>
      <c r="JA94" s="147"/>
      <c r="JB94" s="147"/>
      <c r="JC94" s="147"/>
      <c r="JD94" s="147"/>
      <c r="JE94" s="147"/>
      <c r="JF94" s="147"/>
      <c r="JG94" s="147"/>
      <c r="JH94" s="147"/>
      <c r="JI94" s="147"/>
      <c r="JJ94" s="147"/>
      <c r="JK94" s="147"/>
      <c r="JL94" s="147"/>
      <c r="JM94" s="147"/>
      <c r="JN94" s="147"/>
      <c r="JO94" s="147"/>
      <c r="JP94" s="147"/>
      <c r="JQ94" s="147"/>
      <c r="JR94" s="147"/>
      <c r="JS94" s="147"/>
      <c r="JT94" s="147"/>
      <c r="JU94" s="147"/>
      <c r="JV94" s="147"/>
      <c r="JW94" s="147"/>
      <c r="JX94" s="147"/>
      <c r="JY94" s="147"/>
      <c r="JZ94" s="147"/>
      <c r="KA94" s="147"/>
      <c r="KB94" s="147"/>
      <c r="KC94" s="147"/>
      <c r="KD94" s="147"/>
      <c r="KE94" s="147"/>
      <c r="KF94" s="147"/>
      <c r="KG94" s="147"/>
      <c r="KH94" s="147"/>
      <c r="KI94" s="147"/>
      <c r="KJ94" s="147"/>
      <c r="KK94" s="147"/>
      <c r="KL94" s="147"/>
      <c r="KM94" s="147"/>
      <c r="KN94" s="147"/>
      <c r="KO94" s="147"/>
      <c r="KP94" s="147"/>
      <c r="KQ94" s="147"/>
      <c r="KR94" s="147"/>
      <c r="KS94" s="147"/>
      <c r="KT94" s="147"/>
      <c r="KU94" s="147"/>
      <c r="KV94" s="147"/>
      <c r="KW94" s="147"/>
      <c r="KX94" s="147"/>
      <c r="KY94" s="147"/>
      <c r="KZ94" s="147"/>
      <c r="LA94" s="147"/>
      <c r="LB94" s="147"/>
      <c r="LC94" s="147"/>
      <c r="LD94" s="147"/>
      <c r="LE94" s="147"/>
      <c r="LF94" s="147"/>
      <c r="LG94" s="147"/>
      <c r="LH94" s="147"/>
      <c r="LI94" s="147"/>
      <c r="LJ94" s="147"/>
      <c r="LK94" s="147"/>
      <c r="LL94" s="147"/>
      <c r="LM94" s="147"/>
      <c r="LN94" s="147"/>
      <c r="LO94" s="147"/>
      <c r="LP94" s="147"/>
      <c r="LQ94" s="147"/>
      <c r="LR94" s="147"/>
      <c r="LS94" s="147"/>
      <c r="LT94" s="147"/>
      <c r="LU94" s="147"/>
      <c r="LV94" s="147"/>
      <c r="LW94" s="147"/>
      <c r="LX94" s="147"/>
      <c r="LY94" s="147"/>
      <c r="LZ94" s="147"/>
      <c r="MA94" s="147"/>
      <c r="MB94" s="147"/>
      <c r="MC94" s="147"/>
      <c r="MD94" s="147"/>
      <c r="ME94" s="147"/>
      <c r="MF94" s="147"/>
      <c r="MG94" s="147"/>
      <c r="MH94" s="147"/>
      <c r="MI94" s="147"/>
      <c r="MJ94" s="147"/>
      <c r="MK94" s="147"/>
      <c r="ML94" s="147"/>
      <c r="MM94" s="147"/>
      <c r="MN94" s="147"/>
      <c r="MO94" s="147"/>
      <c r="MP94" s="147"/>
      <c r="MQ94" s="147"/>
      <c r="MR94" s="147"/>
      <c r="MS94" s="147"/>
      <c r="MT94" s="147"/>
      <c r="MU94" s="147"/>
      <c r="MV94" s="147"/>
      <c r="MW94" s="147"/>
      <c r="MX94" s="147"/>
      <c r="MY94" s="147"/>
      <c r="MZ94" s="147"/>
      <c r="NA94" s="147"/>
      <c r="NB94" s="147"/>
      <c r="NC94" s="147"/>
      <c r="ND94" s="147"/>
      <c r="NE94" s="147"/>
      <c r="NF94" s="147"/>
      <c r="NG94" s="147"/>
      <c r="NH94" s="147"/>
      <c r="NI94" s="147"/>
      <c r="NJ94" s="147"/>
      <c r="NK94" s="147"/>
      <c r="NL94" s="147"/>
      <c r="NM94" s="147"/>
      <c r="NN94" s="147"/>
      <c r="NO94" s="147"/>
      <c r="NP94" s="147"/>
      <c r="NQ94" s="147"/>
      <c r="NR94" s="147"/>
      <c r="NS94" s="147"/>
      <c r="NT94" s="147"/>
      <c r="NU94" s="147"/>
      <c r="NV94" s="147"/>
      <c r="NW94" s="147"/>
      <c r="NX94" s="147"/>
      <c r="NY94" s="147"/>
      <c r="NZ94" s="147"/>
      <c r="OA94" s="147"/>
      <c r="OB94" s="147"/>
      <c r="OC94" s="147"/>
      <c r="OD94" s="147"/>
      <c r="OE94" s="147"/>
      <c r="OF94" s="147"/>
      <c r="OG94" s="147"/>
      <c r="OH94" s="147"/>
      <c r="OI94" s="147"/>
      <c r="OJ94" s="147"/>
      <c r="OK94" s="147"/>
      <c r="OL94" s="147"/>
      <c r="OM94" s="147"/>
      <c r="ON94" s="147"/>
      <c r="OO94" s="147"/>
      <c r="OP94" s="147"/>
      <c r="OQ94" s="147"/>
      <c r="OR94" s="147"/>
      <c r="OS94" s="147"/>
      <c r="OT94" s="147"/>
      <c r="OU94" s="147"/>
      <c r="OV94" s="147"/>
      <c r="OW94" s="147"/>
      <c r="OX94" s="147"/>
      <c r="OY94" s="147"/>
      <c r="OZ94" s="147"/>
      <c r="PA94" s="147"/>
      <c r="PB94" s="147"/>
      <c r="PC94" s="147"/>
      <c r="PD94" s="147"/>
      <c r="PE94" s="147"/>
      <c r="PF94" s="147"/>
      <c r="PG94" s="147"/>
      <c r="PH94" s="147"/>
      <c r="PI94" s="147"/>
      <c r="PJ94" s="147"/>
      <c r="PK94" s="147"/>
      <c r="PL94" s="147"/>
      <c r="PM94" s="147"/>
      <c r="PN94" s="147"/>
      <c r="PO94" s="147"/>
      <c r="PP94" s="147"/>
      <c r="PQ94" s="147"/>
      <c r="PR94" s="147"/>
      <c r="PS94" s="147"/>
      <c r="PT94" s="147"/>
      <c r="PU94" s="147"/>
      <c r="PV94" s="147"/>
      <c r="PW94" s="147"/>
      <c r="PX94" s="147"/>
      <c r="PY94" s="147"/>
      <c r="PZ94" s="147"/>
      <c r="QA94" s="147"/>
      <c r="QB94" s="147"/>
      <c r="QC94" s="147"/>
      <c r="QD94" s="147"/>
      <c r="QE94" s="147"/>
      <c r="QF94" s="147"/>
      <c r="QG94" s="147"/>
      <c r="QH94" s="147"/>
      <c r="QI94" s="147"/>
      <c r="QJ94" s="147"/>
      <c r="QK94" s="147"/>
      <c r="QL94" s="147"/>
      <c r="QM94" s="147"/>
      <c r="QN94" s="147"/>
      <c r="QO94" s="147"/>
      <c r="QP94" s="147"/>
      <c r="QQ94" s="147"/>
      <c r="QR94" s="147"/>
      <c r="QS94" s="147"/>
      <c r="QT94" s="147"/>
      <c r="QU94" s="147"/>
      <c r="QV94" s="147"/>
      <c r="QW94" s="147"/>
      <c r="QX94" s="147"/>
      <c r="QY94" s="147"/>
      <c r="QZ94" s="147"/>
      <c r="RA94" s="147"/>
      <c r="RB94" s="147"/>
      <c r="RC94" s="147"/>
      <c r="RD94" s="147"/>
      <c r="RE94" s="147"/>
      <c r="RF94" s="147"/>
      <c r="RG94" s="147"/>
      <c r="RH94" s="147"/>
      <c r="RI94" s="147"/>
      <c r="RJ94" s="147"/>
      <c r="RK94" s="147"/>
      <c r="RL94" s="147"/>
      <c r="RM94" s="147"/>
      <c r="RN94" s="147"/>
      <c r="RO94" s="147"/>
      <c r="RP94" s="147"/>
      <c r="RQ94" s="147"/>
      <c r="RR94" s="147"/>
      <c r="RS94" s="147"/>
      <c r="RT94" s="147"/>
      <c r="RU94" s="147"/>
      <c r="RV94" s="147"/>
      <c r="RW94" s="147"/>
      <c r="RX94" s="147"/>
      <c r="RY94" s="147"/>
      <c r="RZ94" s="147"/>
      <c r="SA94" s="147"/>
      <c r="SB94" s="147"/>
      <c r="SC94" s="147"/>
      <c r="SD94" s="147"/>
      <c r="SE94" s="147"/>
      <c r="SF94" s="147"/>
      <c r="SG94" s="147"/>
      <c r="SH94" s="147"/>
      <c r="SI94" s="147"/>
      <c r="SJ94" s="147"/>
      <c r="SK94" s="147"/>
      <c r="SL94" s="147"/>
      <c r="SM94" s="147"/>
      <c r="SN94" s="147"/>
      <c r="SO94" s="147"/>
      <c r="SP94" s="147"/>
      <c r="SQ94" s="147"/>
      <c r="SR94" s="147"/>
      <c r="SS94" s="147"/>
      <c r="ST94" s="147"/>
      <c r="SU94" s="147"/>
      <c r="SV94" s="147"/>
      <c r="SW94" s="147"/>
      <c r="SX94" s="147"/>
      <c r="SY94" s="147"/>
      <c r="SZ94" s="147"/>
      <c r="TA94" s="147"/>
      <c r="TB94" s="147"/>
      <c r="TC94" s="147"/>
      <c r="TD94" s="147"/>
      <c r="TE94" s="147"/>
      <c r="TF94" s="147"/>
      <c r="TG94" s="147"/>
      <c r="TH94" s="147"/>
      <c r="TI94" s="147"/>
      <c r="TJ94" s="147"/>
      <c r="TK94" s="147"/>
      <c r="TL94" s="147"/>
      <c r="TM94" s="147"/>
      <c r="TN94" s="147"/>
      <c r="TO94" s="147"/>
      <c r="TP94" s="147"/>
      <c r="TQ94" s="147"/>
      <c r="TR94" s="147"/>
      <c r="TS94" s="147"/>
      <c r="TT94" s="147"/>
      <c r="TU94" s="147"/>
      <c r="TV94" s="147"/>
      <c r="TW94" s="147"/>
      <c r="TX94" s="147"/>
      <c r="TY94" s="147"/>
      <c r="TZ94" s="147"/>
      <c r="UA94" s="147"/>
      <c r="UB94" s="147"/>
      <c r="UC94" s="147"/>
      <c r="UD94" s="147"/>
      <c r="UE94" s="147"/>
      <c r="UF94" s="147"/>
      <c r="UG94" s="147"/>
      <c r="UH94" s="147"/>
      <c r="UI94" s="147"/>
      <c r="UJ94" s="147"/>
      <c r="UK94" s="147"/>
      <c r="UL94" s="147"/>
      <c r="UM94" s="147"/>
      <c r="UN94" s="147"/>
      <c r="UO94" s="147"/>
      <c r="UP94" s="147"/>
      <c r="UQ94" s="147"/>
      <c r="UR94" s="147"/>
      <c r="US94" s="147"/>
      <c r="UT94" s="147"/>
      <c r="UU94" s="147"/>
      <c r="UV94" s="147"/>
      <c r="UW94" s="147"/>
      <c r="UX94" s="147"/>
      <c r="UY94" s="147"/>
      <c r="UZ94" s="147"/>
      <c r="VA94" s="147"/>
      <c r="VB94" s="147"/>
      <c r="VC94" s="147"/>
      <c r="VD94" s="147"/>
      <c r="VE94" s="147"/>
      <c r="VF94" s="147"/>
      <c r="VG94" s="147"/>
      <c r="VH94" s="147"/>
      <c r="VI94" s="147"/>
      <c r="VJ94" s="147"/>
      <c r="VK94" s="147"/>
      <c r="VL94" s="147"/>
      <c r="VM94" s="147"/>
      <c r="VN94" s="147"/>
      <c r="VO94" s="147"/>
      <c r="VP94" s="147"/>
      <c r="VQ94" s="147"/>
      <c r="VR94" s="147"/>
      <c r="VS94" s="147"/>
      <c r="VT94" s="147"/>
      <c r="VU94" s="147"/>
      <c r="VV94" s="147"/>
      <c r="VW94" s="147"/>
      <c r="VX94" s="147"/>
      <c r="VY94" s="147"/>
      <c r="VZ94" s="147"/>
      <c r="WA94" s="147"/>
      <c r="WB94" s="147"/>
      <c r="WC94" s="147"/>
      <c r="WD94" s="147"/>
      <c r="WE94" s="147"/>
      <c r="WF94" s="147"/>
      <c r="WG94" s="147"/>
      <c r="WH94" s="147"/>
      <c r="WI94" s="147"/>
      <c r="WJ94" s="147"/>
      <c r="WK94" s="147"/>
      <c r="WL94" s="147"/>
      <c r="WM94" s="147"/>
      <c r="WN94" s="147"/>
      <c r="WO94" s="147"/>
      <c r="WP94" s="147"/>
      <c r="WQ94" s="147"/>
      <c r="WR94" s="147"/>
      <c r="WS94" s="147"/>
      <c r="WT94" s="147"/>
      <c r="WU94" s="147"/>
      <c r="WV94" s="147"/>
      <c r="WW94" s="147"/>
      <c r="WX94" s="147"/>
      <c r="WY94" s="147"/>
      <c r="WZ94" s="147"/>
      <c r="XA94" s="147"/>
      <c r="XB94" s="147"/>
      <c r="XC94" s="147"/>
      <c r="XD94" s="147"/>
      <c r="XE94" s="147"/>
      <c r="XF94" s="147"/>
      <c r="XG94" s="147"/>
      <c r="XH94" s="147"/>
      <c r="XI94" s="147"/>
      <c r="XJ94" s="147"/>
      <c r="XK94" s="147"/>
      <c r="XL94" s="147"/>
      <c r="XM94" s="147"/>
      <c r="XN94" s="147"/>
      <c r="XO94" s="147"/>
      <c r="XP94" s="147"/>
      <c r="XQ94" s="147"/>
      <c r="XR94" s="147"/>
      <c r="XS94" s="147"/>
      <c r="XT94" s="147"/>
      <c r="XU94" s="147"/>
      <c r="XV94" s="147"/>
      <c r="XW94" s="147"/>
      <c r="XX94" s="147"/>
      <c r="XY94" s="147"/>
      <c r="XZ94" s="147"/>
      <c r="YA94" s="147"/>
      <c r="YB94" s="147"/>
      <c r="YC94" s="147"/>
      <c r="YD94" s="147"/>
      <c r="YE94" s="147"/>
      <c r="YF94" s="147"/>
      <c r="YG94" s="147"/>
      <c r="YH94" s="147"/>
      <c r="YI94" s="147"/>
      <c r="YJ94" s="147"/>
      <c r="YK94" s="147"/>
      <c r="YL94" s="147"/>
      <c r="YM94" s="147"/>
      <c r="YN94" s="147"/>
      <c r="YO94" s="147"/>
      <c r="YP94" s="147"/>
      <c r="YQ94" s="147"/>
      <c r="YR94" s="147"/>
      <c r="YS94" s="147"/>
      <c r="YT94" s="147"/>
      <c r="YU94" s="147"/>
      <c r="YV94" s="147"/>
      <c r="YW94" s="147"/>
      <c r="YX94" s="147"/>
    </row>
    <row r="95" spans="1:674" s="238" customFormat="1" ht="23.1" customHeight="1">
      <c r="A95" s="166">
        <v>67</v>
      </c>
      <c r="B95" s="176" t="s">
        <v>649</v>
      </c>
      <c r="C95" s="156" t="s">
        <v>161</v>
      </c>
      <c r="D95" s="156"/>
      <c r="E95" s="153"/>
      <c r="F95" s="165"/>
      <c r="G95" s="238" t="s">
        <v>650</v>
      </c>
      <c r="H95" s="153"/>
      <c r="I95" s="156" t="s">
        <v>651</v>
      </c>
      <c r="J95" s="157" t="s">
        <v>442</v>
      </c>
      <c r="K95" s="172"/>
      <c r="L95" s="159" t="s">
        <v>652</v>
      </c>
      <c r="M95" s="156"/>
      <c r="N95" s="236"/>
      <c r="O95" s="237"/>
    </row>
    <row r="96" spans="1:674" s="238" customFormat="1" ht="23.1" customHeight="1">
      <c r="A96" s="156">
        <v>68</v>
      </c>
      <c r="B96" s="176" t="s">
        <v>653</v>
      </c>
      <c r="C96" s="156" t="s">
        <v>161</v>
      </c>
      <c r="D96" s="156"/>
      <c r="E96" s="153"/>
      <c r="F96" s="165"/>
      <c r="G96" s="238" t="s">
        <v>650</v>
      </c>
      <c r="H96" s="153"/>
      <c r="I96" s="156" t="s">
        <v>654</v>
      </c>
      <c r="J96" s="157" t="s">
        <v>442</v>
      </c>
      <c r="K96" s="172"/>
      <c r="L96" s="159" t="s">
        <v>655</v>
      </c>
      <c r="M96" s="156"/>
      <c r="N96" s="236"/>
      <c r="O96" s="237"/>
    </row>
    <row r="97" spans="1:674" s="238" customFormat="1" ht="23.1" customHeight="1">
      <c r="A97" s="156">
        <v>69</v>
      </c>
      <c r="B97" s="176" t="s">
        <v>656</v>
      </c>
      <c r="C97" s="156" t="s">
        <v>467</v>
      </c>
      <c r="D97" s="156"/>
      <c r="E97" s="153"/>
      <c r="F97" s="165"/>
      <c r="G97" s="238" t="s">
        <v>650</v>
      </c>
      <c r="H97" s="153"/>
      <c r="I97" s="156" t="s">
        <v>657</v>
      </c>
      <c r="J97" s="165" t="s">
        <v>8</v>
      </c>
      <c r="K97" s="172"/>
      <c r="L97" s="159" t="s">
        <v>658</v>
      </c>
      <c r="M97" s="156"/>
      <c r="N97" s="236"/>
      <c r="O97" s="237"/>
    </row>
    <row r="98" spans="1:674" s="238" customFormat="1" ht="23.1" customHeight="1">
      <c r="A98" s="156">
        <v>70</v>
      </c>
      <c r="B98" s="176" t="s">
        <v>659</v>
      </c>
      <c r="C98" s="156" t="s">
        <v>467</v>
      </c>
      <c r="D98" s="156"/>
      <c r="E98" s="153"/>
      <c r="F98" s="165"/>
      <c r="G98" s="238" t="s">
        <v>650</v>
      </c>
      <c r="H98" s="153"/>
      <c r="I98" s="156" t="s">
        <v>317</v>
      </c>
      <c r="J98" s="165" t="s">
        <v>660</v>
      </c>
      <c r="K98" s="172"/>
      <c r="L98" s="159" t="s">
        <v>661</v>
      </c>
      <c r="M98" s="156"/>
      <c r="N98" s="236"/>
      <c r="O98" s="237"/>
    </row>
    <row r="99" spans="1:674" s="238" customFormat="1" ht="23.1" customHeight="1">
      <c r="A99" s="156"/>
      <c r="B99" s="176"/>
      <c r="C99" s="156"/>
      <c r="D99" s="156"/>
      <c r="E99" s="153"/>
      <c r="F99" s="165"/>
      <c r="H99" s="153"/>
      <c r="I99" s="156"/>
      <c r="J99" s="165"/>
      <c r="K99" s="172"/>
      <c r="L99" s="159"/>
      <c r="M99" s="156"/>
      <c r="N99" s="236"/>
      <c r="O99" s="237"/>
    </row>
    <row r="100" spans="1:674" s="238" customFormat="1" ht="23.1" customHeight="1">
      <c r="A100" s="156"/>
      <c r="B100" s="176"/>
      <c r="C100" s="156"/>
      <c r="D100" s="156"/>
      <c r="E100" s="153"/>
      <c r="F100" s="165"/>
      <c r="H100" s="153"/>
      <c r="I100" s="156"/>
      <c r="J100" s="165"/>
      <c r="K100" s="172"/>
      <c r="L100" s="159"/>
      <c r="M100" s="156"/>
      <c r="N100" s="236"/>
      <c r="O100" s="237"/>
    </row>
    <row r="101" spans="1:674" s="238" customFormat="1" ht="23.1" customHeight="1">
      <c r="A101" s="156"/>
      <c r="B101" s="176"/>
      <c r="C101" s="156"/>
      <c r="D101" s="156"/>
      <c r="E101" s="153"/>
      <c r="F101" s="165"/>
      <c r="H101" s="153"/>
      <c r="I101" s="156"/>
      <c r="J101" s="165"/>
      <c r="K101" s="172"/>
      <c r="L101" s="159"/>
      <c r="M101" s="156"/>
      <c r="N101" s="236"/>
      <c r="O101" s="237"/>
    </row>
    <row r="102" spans="1:674" s="238" customFormat="1" ht="23.1" customHeight="1">
      <c r="A102" s="156"/>
      <c r="B102" s="148" t="s">
        <v>662</v>
      </c>
      <c r="C102" s="147"/>
      <c r="D102" s="171"/>
      <c r="E102" s="171"/>
      <c r="F102" s="147"/>
      <c r="G102" s="147"/>
      <c r="H102" s="171"/>
      <c r="I102" s="171"/>
      <c r="J102" s="149"/>
      <c r="K102" s="147"/>
      <c r="L102" s="174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  <c r="AM102" s="147"/>
      <c r="AN102" s="147"/>
      <c r="AO102" s="147"/>
      <c r="AP102" s="147"/>
      <c r="AQ102" s="147"/>
      <c r="AR102" s="147"/>
      <c r="AS102" s="147"/>
      <c r="AT102" s="147"/>
      <c r="AU102" s="147"/>
      <c r="AV102" s="147"/>
      <c r="AW102" s="147"/>
      <c r="AX102" s="147"/>
      <c r="AY102" s="147"/>
      <c r="AZ102" s="147"/>
      <c r="BA102" s="147"/>
      <c r="BB102" s="147"/>
      <c r="BC102" s="147"/>
      <c r="BD102" s="147"/>
      <c r="BE102" s="147"/>
      <c r="BF102" s="147"/>
      <c r="BG102" s="147"/>
      <c r="BH102" s="147"/>
      <c r="BI102" s="147"/>
      <c r="BJ102" s="147"/>
      <c r="BK102" s="147"/>
      <c r="BL102" s="147"/>
      <c r="BM102" s="147"/>
      <c r="BN102" s="147"/>
      <c r="BO102" s="147"/>
      <c r="BP102" s="147"/>
      <c r="BQ102" s="147"/>
      <c r="BR102" s="147"/>
      <c r="BS102" s="147"/>
      <c r="BT102" s="147"/>
      <c r="BU102" s="147"/>
      <c r="BV102" s="147"/>
      <c r="BW102" s="147"/>
      <c r="BX102" s="147"/>
      <c r="BY102" s="147"/>
      <c r="BZ102" s="147"/>
      <c r="CA102" s="147"/>
      <c r="CB102" s="147"/>
      <c r="CC102" s="147"/>
      <c r="CD102" s="147"/>
      <c r="CE102" s="147"/>
      <c r="CF102" s="147"/>
      <c r="CG102" s="147"/>
      <c r="CH102" s="147"/>
      <c r="CI102" s="147"/>
      <c r="CJ102" s="147"/>
      <c r="CK102" s="147"/>
      <c r="CL102" s="147"/>
      <c r="CM102" s="147"/>
      <c r="CN102" s="147"/>
      <c r="CO102" s="147"/>
      <c r="CP102" s="147"/>
      <c r="CQ102" s="147"/>
      <c r="CR102" s="147"/>
      <c r="CS102" s="147"/>
      <c r="CT102" s="147"/>
      <c r="CU102" s="147"/>
      <c r="CV102" s="147"/>
      <c r="CW102" s="147"/>
      <c r="CX102" s="147"/>
      <c r="CY102" s="147"/>
      <c r="CZ102" s="147"/>
      <c r="DA102" s="147"/>
      <c r="DB102" s="147"/>
      <c r="DC102" s="147"/>
      <c r="DD102" s="147"/>
      <c r="DE102" s="147"/>
      <c r="DF102" s="147"/>
      <c r="DG102" s="147"/>
      <c r="DH102" s="147"/>
      <c r="DI102" s="147"/>
      <c r="DJ102" s="147"/>
      <c r="DK102" s="147"/>
      <c r="DL102" s="147"/>
      <c r="DM102" s="147"/>
      <c r="DN102" s="147"/>
      <c r="DO102" s="147"/>
      <c r="DP102" s="147"/>
      <c r="DQ102" s="147"/>
      <c r="DR102" s="147"/>
      <c r="DS102" s="147"/>
      <c r="DT102" s="147"/>
      <c r="DU102" s="147"/>
      <c r="DV102" s="147"/>
      <c r="DW102" s="147"/>
      <c r="DX102" s="147"/>
      <c r="DY102" s="147"/>
      <c r="DZ102" s="147"/>
      <c r="EA102" s="147"/>
      <c r="EB102" s="147"/>
      <c r="EC102" s="147"/>
      <c r="ED102" s="147"/>
      <c r="EE102" s="147"/>
      <c r="EF102" s="147"/>
      <c r="EG102" s="147"/>
      <c r="EH102" s="147"/>
      <c r="EI102" s="147"/>
      <c r="EJ102" s="147"/>
      <c r="EK102" s="147"/>
      <c r="EL102" s="147"/>
      <c r="EM102" s="147"/>
      <c r="EN102" s="147"/>
      <c r="EO102" s="147"/>
      <c r="EP102" s="147"/>
      <c r="EQ102" s="147"/>
      <c r="ER102" s="147"/>
      <c r="ES102" s="147"/>
      <c r="ET102" s="147"/>
      <c r="EU102" s="147"/>
      <c r="EV102" s="147"/>
      <c r="EW102" s="147"/>
      <c r="EX102" s="147"/>
      <c r="EY102" s="147"/>
      <c r="EZ102" s="147"/>
      <c r="FA102" s="147"/>
      <c r="FB102" s="147"/>
      <c r="FC102" s="147"/>
      <c r="FD102" s="147"/>
      <c r="FE102" s="147"/>
      <c r="FF102" s="147"/>
      <c r="FG102" s="147"/>
      <c r="FH102" s="147"/>
      <c r="FI102" s="147"/>
      <c r="FJ102" s="147"/>
      <c r="FK102" s="147"/>
      <c r="FL102" s="147"/>
      <c r="FM102" s="147"/>
      <c r="FN102" s="147"/>
      <c r="FO102" s="147"/>
      <c r="FP102" s="147"/>
      <c r="FQ102" s="147"/>
      <c r="FR102" s="147"/>
      <c r="FS102" s="147"/>
      <c r="FT102" s="147"/>
      <c r="FU102" s="147"/>
      <c r="FV102" s="147"/>
      <c r="FW102" s="147"/>
      <c r="FX102" s="147"/>
      <c r="FY102" s="147"/>
      <c r="FZ102" s="147"/>
      <c r="GA102" s="147"/>
      <c r="GB102" s="147"/>
      <c r="GC102" s="147"/>
      <c r="GD102" s="147"/>
      <c r="GE102" s="147"/>
      <c r="GF102" s="147"/>
      <c r="GG102" s="147"/>
      <c r="GH102" s="147"/>
      <c r="GI102" s="147"/>
      <c r="GJ102" s="147"/>
      <c r="GK102" s="147"/>
      <c r="GL102" s="147"/>
      <c r="GM102" s="147"/>
      <c r="GN102" s="147"/>
      <c r="GO102" s="147"/>
      <c r="GP102" s="147"/>
      <c r="GQ102" s="147"/>
      <c r="GR102" s="147"/>
      <c r="GS102" s="147"/>
      <c r="GT102" s="147"/>
      <c r="GU102" s="147"/>
      <c r="GV102" s="147"/>
      <c r="GW102" s="147"/>
      <c r="GX102" s="147"/>
      <c r="GY102" s="147"/>
      <c r="GZ102" s="147"/>
      <c r="HA102" s="147"/>
      <c r="HB102" s="147"/>
      <c r="HC102" s="147"/>
      <c r="HD102" s="147"/>
      <c r="HE102" s="147"/>
      <c r="HF102" s="147"/>
      <c r="HG102" s="147"/>
      <c r="HH102" s="147"/>
      <c r="HI102" s="147"/>
      <c r="HJ102" s="147"/>
      <c r="HK102" s="147"/>
      <c r="HL102" s="147"/>
      <c r="HM102" s="147"/>
      <c r="HN102" s="147"/>
      <c r="HO102" s="147"/>
      <c r="HP102" s="147"/>
      <c r="HQ102" s="147"/>
      <c r="HR102" s="147"/>
      <c r="HS102" s="147"/>
      <c r="HT102" s="147"/>
      <c r="HU102" s="147"/>
      <c r="HV102" s="147"/>
      <c r="HW102" s="147"/>
      <c r="HX102" s="147"/>
      <c r="HY102" s="147"/>
      <c r="HZ102" s="147"/>
      <c r="IA102" s="147"/>
      <c r="IB102" s="147"/>
      <c r="IC102" s="147"/>
      <c r="ID102" s="147"/>
      <c r="IE102" s="147"/>
      <c r="IF102" s="147"/>
      <c r="IG102" s="147"/>
      <c r="IH102" s="147"/>
      <c r="II102" s="147"/>
      <c r="IJ102" s="147"/>
      <c r="IK102" s="147"/>
      <c r="IL102" s="147"/>
      <c r="IM102" s="147"/>
      <c r="IN102" s="147"/>
      <c r="IO102" s="147"/>
      <c r="IP102" s="147"/>
      <c r="IQ102" s="147"/>
      <c r="IR102" s="147"/>
      <c r="IS102" s="147"/>
      <c r="IT102" s="147"/>
      <c r="IU102" s="147"/>
      <c r="IV102" s="147"/>
      <c r="IW102" s="147"/>
      <c r="IX102" s="147"/>
      <c r="IY102" s="147"/>
      <c r="IZ102" s="147"/>
      <c r="JA102" s="147"/>
      <c r="JB102" s="147"/>
      <c r="JC102" s="147"/>
      <c r="JD102" s="147"/>
      <c r="JE102" s="147"/>
      <c r="JF102" s="147"/>
      <c r="JG102" s="147"/>
      <c r="JH102" s="147"/>
      <c r="JI102" s="147"/>
      <c r="JJ102" s="147"/>
      <c r="JK102" s="147"/>
      <c r="JL102" s="147"/>
      <c r="JM102" s="147"/>
      <c r="JN102" s="147"/>
      <c r="JO102" s="147"/>
      <c r="JP102" s="147"/>
      <c r="JQ102" s="147"/>
      <c r="JR102" s="147"/>
      <c r="JS102" s="147"/>
      <c r="JT102" s="147"/>
      <c r="JU102" s="147"/>
      <c r="JV102" s="147"/>
      <c r="JW102" s="147"/>
      <c r="JX102" s="147"/>
      <c r="JY102" s="147"/>
      <c r="JZ102" s="147"/>
      <c r="KA102" s="147"/>
      <c r="KB102" s="147"/>
      <c r="KC102" s="147"/>
      <c r="KD102" s="147"/>
      <c r="KE102" s="147"/>
      <c r="KF102" s="147"/>
      <c r="KG102" s="147"/>
      <c r="KH102" s="147"/>
      <c r="KI102" s="147"/>
      <c r="KJ102" s="147"/>
      <c r="KK102" s="147"/>
      <c r="KL102" s="147"/>
      <c r="KM102" s="147"/>
      <c r="KN102" s="147"/>
      <c r="KO102" s="147"/>
      <c r="KP102" s="147"/>
      <c r="KQ102" s="147"/>
      <c r="KR102" s="147"/>
      <c r="KS102" s="147"/>
      <c r="KT102" s="147"/>
      <c r="KU102" s="147"/>
      <c r="KV102" s="147"/>
      <c r="KW102" s="147"/>
      <c r="KX102" s="147"/>
      <c r="KY102" s="147"/>
      <c r="KZ102" s="147"/>
      <c r="LA102" s="147"/>
      <c r="LB102" s="147"/>
      <c r="LC102" s="147"/>
      <c r="LD102" s="147"/>
      <c r="LE102" s="147"/>
      <c r="LF102" s="147"/>
      <c r="LG102" s="147"/>
      <c r="LH102" s="147"/>
      <c r="LI102" s="147"/>
      <c r="LJ102" s="147"/>
      <c r="LK102" s="147"/>
      <c r="LL102" s="147"/>
      <c r="LM102" s="147"/>
      <c r="LN102" s="147"/>
      <c r="LO102" s="147"/>
      <c r="LP102" s="147"/>
      <c r="LQ102" s="147"/>
      <c r="LR102" s="147"/>
      <c r="LS102" s="147"/>
      <c r="LT102" s="147"/>
      <c r="LU102" s="147"/>
      <c r="LV102" s="147"/>
      <c r="LW102" s="147"/>
      <c r="LX102" s="147"/>
      <c r="LY102" s="147"/>
      <c r="LZ102" s="147"/>
      <c r="MA102" s="147"/>
      <c r="MB102" s="147"/>
      <c r="MC102" s="147"/>
      <c r="MD102" s="147"/>
      <c r="ME102" s="147"/>
      <c r="MF102" s="147"/>
      <c r="MG102" s="147"/>
      <c r="MH102" s="147"/>
      <c r="MI102" s="147"/>
      <c r="MJ102" s="147"/>
      <c r="MK102" s="147"/>
      <c r="ML102" s="147"/>
      <c r="MM102" s="147"/>
      <c r="MN102" s="147"/>
      <c r="MO102" s="147"/>
      <c r="MP102" s="147"/>
      <c r="MQ102" s="147"/>
      <c r="MR102" s="147"/>
      <c r="MS102" s="147"/>
      <c r="MT102" s="147"/>
      <c r="MU102" s="147"/>
      <c r="MV102" s="147"/>
      <c r="MW102" s="147"/>
      <c r="MX102" s="147"/>
      <c r="MY102" s="147"/>
      <c r="MZ102" s="147"/>
      <c r="NA102" s="147"/>
      <c r="NB102" s="147"/>
      <c r="NC102" s="147"/>
      <c r="ND102" s="147"/>
      <c r="NE102" s="147"/>
      <c r="NF102" s="147"/>
      <c r="NG102" s="147"/>
      <c r="NH102" s="147"/>
      <c r="NI102" s="147"/>
      <c r="NJ102" s="147"/>
      <c r="NK102" s="147"/>
      <c r="NL102" s="147"/>
      <c r="NM102" s="147"/>
      <c r="NN102" s="147"/>
      <c r="NO102" s="147"/>
      <c r="NP102" s="147"/>
      <c r="NQ102" s="147"/>
      <c r="NR102" s="147"/>
      <c r="NS102" s="147"/>
      <c r="NT102" s="147"/>
      <c r="NU102" s="147"/>
      <c r="NV102" s="147"/>
      <c r="NW102" s="147"/>
      <c r="NX102" s="147"/>
      <c r="NY102" s="147"/>
      <c r="NZ102" s="147"/>
      <c r="OA102" s="147"/>
      <c r="OB102" s="147"/>
      <c r="OC102" s="147"/>
      <c r="OD102" s="147"/>
      <c r="OE102" s="147"/>
      <c r="OF102" s="147"/>
      <c r="OG102" s="147"/>
      <c r="OH102" s="147"/>
      <c r="OI102" s="147"/>
      <c r="OJ102" s="147"/>
      <c r="OK102" s="147"/>
      <c r="OL102" s="147"/>
      <c r="OM102" s="147"/>
      <c r="ON102" s="147"/>
      <c r="OO102" s="147"/>
      <c r="OP102" s="147"/>
      <c r="OQ102" s="147"/>
      <c r="OR102" s="147"/>
      <c r="OS102" s="147"/>
      <c r="OT102" s="147"/>
      <c r="OU102" s="147"/>
      <c r="OV102" s="147"/>
      <c r="OW102" s="147"/>
      <c r="OX102" s="147"/>
      <c r="OY102" s="147"/>
      <c r="OZ102" s="147"/>
      <c r="PA102" s="147"/>
      <c r="PB102" s="147"/>
      <c r="PC102" s="147"/>
      <c r="PD102" s="147"/>
      <c r="PE102" s="147"/>
      <c r="PF102" s="147"/>
      <c r="PG102" s="147"/>
      <c r="PH102" s="147"/>
      <c r="PI102" s="147"/>
      <c r="PJ102" s="147"/>
      <c r="PK102" s="147"/>
      <c r="PL102" s="147"/>
      <c r="PM102" s="147"/>
      <c r="PN102" s="147"/>
      <c r="PO102" s="147"/>
      <c r="PP102" s="147"/>
      <c r="PQ102" s="147"/>
      <c r="PR102" s="147"/>
      <c r="PS102" s="147"/>
      <c r="PT102" s="147"/>
      <c r="PU102" s="147"/>
      <c r="PV102" s="147"/>
      <c r="PW102" s="147"/>
      <c r="PX102" s="147"/>
      <c r="PY102" s="147"/>
      <c r="PZ102" s="147"/>
      <c r="QA102" s="147"/>
      <c r="QB102" s="147"/>
      <c r="QC102" s="147"/>
      <c r="QD102" s="147"/>
      <c r="QE102" s="147"/>
      <c r="QF102" s="147"/>
      <c r="QG102" s="147"/>
      <c r="QH102" s="147"/>
      <c r="QI102" s="147"/>
      <c r="QJ102" s="147"/>
      <c r="QK102" s="147"/>
      <c r="QL102" s="147"/>
      <c r="QM102" s="147"/>
      <c r="QN102" s="147"/>
      <c r="QO102" s="147"/>
      <c r="QP102" s="147"/>
      <c r="QQ102" s="147"/>
      <c r="QR102" s="147"/>
      <c r="QS102" s="147"/>
      <c r="QT102" s="147"/>
      <c r="QU102" s="147"/>
      <c r="QV102" s="147"/>
      <c r="QW102" s="147"/>
      <c r="QX102" s="147"/>
      <c r="QY102" s="147"/>
      <c r="QZ102" s="147"/>
      <c r="RA102" s="147"/>
      <c r="RB102" s="147"/>
      <c r="RC102" s="147"/>
      <c r="RD102" s="147"/>
      <c r="RE102" s="147"/>
      <c r="RF102" s="147"/>
      <c r="RG102" s="147"/>
      <c r="RH102" s="147"/>
      <c r="RI102" s="147"/>
      <c r="RJ102" s="147"/>
      <c r="RK102" s="147"/>
      <c r="RL102" s="147"/>
      <c r="RM102" s="147"/>
      <c r="RN102" s="147"/>
      <c r="RO102" s="147"/>
      <c r="RP102" s="147"/>
      <c r="RQ102" s="147"/>
      <c r="RR102" s="147"/>
      <c r="RS102" s="147"/>
      <c r="RT102" s="147"/>
      <c r="RU102" s="147"/>
      <c r="RV102" s="147"/>
      <c r="RW102" s="147"/>
      <c r="RX102" s="147"/>
      <c r="RY102" s="147"/>
      <c r="RZ102" s="147"/>
      <c r="SA102" s="147"/>
      <c r="SB102" s="147"/>
      <c r="SC102" s="147"/>
      <c r="SD102" s="147"/>
      <c r="SE102" s="147"/>
      <c r="SF102" s="147"/>
      <c r="SG102" s="147"/>
      <c r="SH102" s="147"/>
      <c r="SI102" s="147"/>
      <c r="SJ102" s="147"/>
      <c r="SK102" s="147"/>
      <c r="SL102" s="147"/>
      <c r="SM102" s="147"/>
      <c r="SN102" s="147"/>
      <c r="SO102" s="147"/>
      <c r="SP102" s="147"/>
      <c r="SQ102" s="147"/>
      <c r="SR102" s="147"/>
      <c r="SS102" s="147"/>
      <c r="ST102" s="147"/>
      <c r="SU102" s="147"/>
      <c r="SV102" s="147"/>
      <c r="SW102" s="147"/>
      <c r="SX102" s="147"/>
      <c r="SY102" s="147"/>
      <c r="SZ102" s="147"/>
      <c r="TA102" s="147"/>
      <c r="TB102" s="147"/>
      <c r="TC102" s="147"/>
      <c r="TD102" s="147"/>
      <c r="TE102" s="147"/>
      <c r="TF102" s="147"/>
      <c r="TG102" s="147"/>
      <c r="TH102" s="147"/>
      <c r="TI102" s="147"/>
      <c r="TJ102" s="147"/>
      <c r="TK102" s="147"/>
      <c r="TL102" s="147"/>
      <c r="TM102" s="147"/>
      <c r="TN102" s="147"/>
      <c r="TO102" s="147"/>
      <c r="TP102" s="147"/>
      <c r="TQ102" s="147"/>
      <c r="TR102" s="147"/>
      <c r="TS102" s="147"/>
      <c r="TT102" s="147"/>
      <c r="TU102" s="147"/>
      <c r="TV102" s="147"/>
      <c r="TW102" s="147"/>
      <c r="TX102" s="147"/>
      <c r="TY102" s="147"/>
      <c r="TZ102" s="147"/>
      <c r="UA102" s="147"/>
      <c r="UB102" s="147"/>
      <c r="UC102" s="147"/>
      <c r="UD102" s="147"/>
      <c r="UE102" s="147"/>
      <c r="UF102" s="147"/>
      <c r="UG102" s="147"/>
      <c r="UH102" s="147"/>
      <c r="UI102" s="147"/>
      <c r="UJ102" s="147"/>
      <c r="UK102" s="147"/>
      <c r="UL102" s="147"/>
      <c r="UM102" s="147"/>
      <c r="UN102" s="147"/>
      <c r="UO102" s="147"/>
      <c r="UP102" s="147"/>
      <c r="UQ102" s="147"/>
      <c r="UR102" s="147"/>
      <c r="US102" s="147"/>
      <c r="UT102" s="147"/>
      <c r="UU102" s="147"/>
      <c r="UV102" s="147"/>
      <c r="UW102" s="147"/>
      <c r="UX102" s="147"/>
      <c r="UY102" s="147"/>
      <c r="UZ102" s="147"/>
      <c r="VA102" s="147"/>
      <c r="VB102" s="147"/>
      <c r="VC102" s="147"/>
      <c r="VD102" s="147"/>
      <c r="VE102" s="147"/>
      <c r="VF102" s="147"/>
      <c r="VG102" s="147"/>
      <c r="VH102" s="147"/>
      <c r="VI102" s="147"/>
      <c r="VJ102" s="147"/>
      <c r="VK102" s="147"/>
      <c r="VL102" s="147"/>
      <c r="VM102" s="147"/>
      <c r="VN102" s="147"/>
      <c r="VO102" s="147"/>
      <c r="VP102" s="147"/>
      <c r="VQ102" s="147"/>
      <c r="VR102" s="147"/>
      <c r="VS102" s="147"/>
      <c r="VT102" s="147"/>
      <c r="VU102" s="147"/>
      <c r="VV102" s="147"/>
      <c r="VW102" s="147"/>
      <c r="VX102" s="147"/>
      <c r="VY102" s="147"/>
      <c r="VZ102" s="147"/>
      <c r="WA102" s="147"/>
      <c r="WB102" s="147"/>
      <c r="WC102" s="147"/>
      <c r="WD102" s="147"/>
      <c r="WE102" s="147"/>
      <c r="WF102" s="147"/>
      <c r="WG102" s="147"/>
      <c r="WH102" s="147"/>
      <c r="WI102" s="147"/>
      <c r="WJ102" s="147"/>
      <c r="WK102" s="147"/>
      <c r="WL102" s="147"/>
      <c r="WM102" s="147"/>
      <c r="WN102" s="147"/>
      <c r="WO102" s="147"/>
      <c r="WP102" s="147"/>
      <c r="WQ102" s="147"/>
      <c r="WR102" s="147"/>
      <c r="WS102" s="147"/>
      <c r="WT102" s="147"/>
      <c r="WU102" s="147"/>
      <c r="WV102" s="147"/>
      <c r="WW102" s="147"/>
      <c r="WX102" s="147"/>
      <c r="WY102" s="147"/>
      <c r="WZ102" s="147"/>
      <c r="XA102" s="147"/>
      <c r="XB102" s="147"/>
      <c r="XC102" s="147"/>
      <c r="XD102" s="147"/>
      <c r="XE102" s="147"/>
      <c r="XF102" s="147"/>
      <c r="XG102" s="147"/>
      <c r="XH102" s="147"/>
      <c r="XI102" s="147"/>
      <c r="XJ102" s="147"/>
      <c r="XK102" s="147"/>
      <c r="XL102" s="147"/>
      <c r="XM102" s="147"/>
      <c r="XN102" s="147"/>
      <c r="XO102" s="147"/>
      <c r="XP102" s="147"/>
      <c r="XQ102" s="147"/>
      <c r="XR102" s="147"/>
      <c r="XS102" s="147"/>
      <c r="XT102" s="147"/>
      <c r="XU102" s="147"/>
      <c r="XV102" s="147"/>
      <c r="XW102" s="147"/>
      <c r="XX102" s="147"/>
      <c r="XY102" s="147"/>
      <c r="XZ102" s="147"/>
      <c r="YA102" s="147"/>
      <c r="YB102" s="147"/>
      <c r="YC102" s="147"/>
      <c r="YD102" s="147"/>
      <c r="YE102" s="147"/>
      <c r="YF102" s="147"/>
      <c r="YG102" s="147"/>
      <c r="YH102" s="147"/>
      <c r="YI102" s="147"/>
      <c r="YJ102" s="147"/>
      <c r="YK102" s="147"/>
      <c r="YL102" s="147"/>
      <c r="YM102" s="147"/>
      <c r="YN102" s="147"/>
      <c r="YO102" s="147"/>
      <c r="YP102" s="147"/>
      <c r="YQ102" s="147"/>
      <c r="YR102" s="147"/>
      <c r="YS102" s="147"/>
      <c r="YT102" s="147"/>
      <c r="YU102" s="147"/>
      <c r="YV102" s="147"/>
      <c r="YW102" s="147"/>
      <c r="YX102" s="147"/>
    </row>
    <row r="103" spans="1:674" s="238" customFormat="1" ht="23.1" customHeight="1">
      <c r="A103" s="156">
        <v>71</v>
      </c>
      <c r="B103" s="178" t="s">
        <v>663</v>
      </c>
      <c r="C103" s="156" t="s">
        <v>467</v>
      </c>
      <c r="D103" s="156"/>
      <c r="E103" s="153"/>
      <c r="F103" s="165"/>
      <c r="G103" s="165" t="s">
        <v>664</v>
      </c>
      <c r="H103" s="153"/>
      <c r="I103" s="166" t="s">
        <v>665</v>
      </c>
      <c r="J103" s="157" t="s">
        <v>442</v>
      </c>
      <c r="K103" s="157"/>
      <c r="L103" s="159" t="s">
        <v>666</v>
      </c>
      <c r="M103" s="165"/>
      <c r="N103" s="179"/>
      <c r="O103" s="168"/>
      <c r="P103" s="167"/>
    </row>
    <row r="104" spans="1:674" s="238" customFormat="1" ht="23.1" customHeight="1">
      <c r="A104" s="156">
        <v>72</v>
      </c>
      <c r="B104" s="164" t="s">
        <v>667</v>
      </c>
      <c r="C104" s="156" t="s">
        <v>467</v>
      </c>
      <c r="D104" s="165"/>
      <c r="E104" s="165"/>
      <c r="F104" s="165"/>
      <c r="G104" s="165" t="s">
        <v>668</v>
      </c>
      <c r="H104" s="165"/>
      <c r="I104" s="166" t="s">
        <v>669</v>
      </c>
      <c r="J104" s="157" t="s">
        <v>8</v>
      </c>
      <c r="K104" s="166"/>
      <c r="L104" s="165" t="s">
        <v>670</v>
      </c>
      <c r="M104" s="167"/>
      <c r="N104" s="167"/>
      <c r="O104" s="168"/>
      <c r="P104" s="167"/>
    </row>
    <row r="105" spans="1:674" s="238" customFormat="1" ht="23.1" customHeight="1">
      <c r="A105" s="156"/>
      <c r="B105" s="164"/>
      <c r="C105" s="156"/>
      <c r="D105" s="165"/>
      <c r="E105" s="165"/>
      <c r="F105" s="165"/>
      <c r="G105" s="165"/>
      <c r="H105" s="165"/>
      <c r="I105" s="166"/>
      <c r="J105" s="157"/>
      <c r="K105" s="166"/>
      <c r="L105" s="165"/>
      <c r="M105" s="167"/>
      <c r="N105" s="167"/>
      <c r="O105" s="168"/>
      <c r="P105" s="167"/>
    </row>
    <row r="106" spans="1:674" s="238" customFormat="1" ht="23.1" customHeight="1">
      <c r="A106" s="156"/>
      <c r="B106" s="240" t="s">
        <v>671</v>
      </c>
      <c r="C106" s="156"/>
      <c r="D106" s="156"/>
      <c r="E106" s="153"/>
      <c r="F106" s="165"/>
      <c r="H106" s="153"/>
      <c r="I106" s="156"/>
      <c r="J106" s="165"/>
      <c r="K106" s="180"/>
      <c r="L106" s="181"/>
      <c r="M106" s="156"/>
      <c r="N106" s="236"/>
      <c r="O106" s="237"/>
    </row>
    <row r="107" spans="1:674" s="238" customFormat="1" ht="23.1" customHeight="1">
      <c r="A107" s="156">
        <v>73</v>
      </c>
      <c r="B107" s="164" t="s">
        <v>672</v>
      </c>
      <c r="C107" s="156" t="s">
        <v>467</v>
      </c>
      <c r="D107" s="165"/>
      <c r="E107" s="165"/>
      <c r="F107" s="165"/>
      <c r="G107" s="165" t="s">
        <v>673</v>
      </c>
      <c r="H107" s="165"/>
      <c r="I107" s="167" t="s">
        <v>674</v>
      </c>
      <c r="J107" s="157" t="s">
        <v>8</v>
      </c>
      <c r="K107" s="182" t="s">
        <v>675</v>
      </c>
      <c r="L107" s="165"/>
      <c r="M107" s="156"/>
      <c r="N107" s="236"/>
      <c r="O107" s="237"/>
    </row>
    <row r="108" spans="1:674" s="238" customFormat="1" ht="23.1" customHeight="1">
      <c r="A108" s="156">
        <v>74</v>
      </c>
      <c r="B108" s="178" t="s">
        <v>676</v>
      </c>
      <c r="C108" s="156" t="s">
        <v>467</v>
      </c>
      <c r="D108" s="156"/>
      <c r="E108" s="153"/>
      <c r="F108" s="165"/>
      <c r="G108" s="238" t="s">
        <v>677</v>
      </c>
      <c r="H108" s="153"/>
      <c r="I108" s="156"/>
      <c r="J108" s="165"/>
      <c r="K108" s="180"/>
      <c r="L108" s="181"/>
      <c r="M108" s="156"/>
      <c r="N108" s="236"/>
      <c r="O108" s="237"/>
    </row>
    <row r="109" spans="1:674" s="238" customFormat="1" ht="23.1" customHeight="1">
      <c r="A109" s="156"/>
      <c r="B109" s="240"/>
      <c r="C109" s="156"/>
      <c r="D109" s="156"/>
      <c r="E109" s="153"/>
      <c r="F109" s="165"/>
      <c r="H109" s="153"/>
      <c r="I109" s="156"/>
      <c r="J109" s="165"/>
      <c r="K109" s="180"/>
      <c r="L109" s="181"/>
      <c r="M109" s="156"/>
      <c r="N109" s="236"/>
      <c r="O109" s="237"/>
    </row>
    <row r="110" spans="1:674" s="238" customFormat="1" ht="23.1" customHeight="1">
      <c r="A110" s="156"/>
      <c r="B110" s="240" t="s">
        <v>678</v>
      </c>
      <c r="C110" s="156"/>
      <c r="D110" s="156"/>
      <c r="E110" s="153"/>
      <c r="F110" s="165"/>
      <c r="H110" s="153"/>
      <c r="I110" s="156"/>
      <c r="J110" s="165"/>
      <c r="K110" s="180"/>
      <c r="L110" s="181"/>
      <c r="M110" s="156"/>
      <c r="N110" s="236"/>
      <c r="O110" s="237"/>
    </row>
    <row r="111" spans="1:674" s="238" customFormat="1" ht="23.1" customHeight="1">
      <c r="A111" s="156">
        <v>75</v>
      </c>
      <c r="B111" s="176" t="s">
        <v>679</v>
      </c>
      <c r="C111" s="156" t="s">
        <v>467</v>
      </c>
      <c r="D111" s="156"/>
      <c r="E111" s="153"/>
      <c r="F111" s="165"/>
      <c r="G111" s="238" t="s">
        <v>680</v>
      </c>
      <c r="H111" s="153"/>
      <c r="I111" s="156" t="s">
        <v>681</v>
      </c>
      <c r="J111" s="176" t="s">
        <v>682</v>
      </c>
      <c r="K111" s="172"/>
      <c r="L111" s="159"/>
      <c r="M111" s="156"/>
      <c r="N111" s="236"/>
      <c r="O111" s="237"/>
    </row>
    <row r="112" spans="1:674" s="238" customFormat="1" ht="23.1" customHeight="1">
      <c r="A112" s="156">
        <v>76</v>
      </c>
      <c r="B112" s="176" t="s">
        <v>683</v>
      </c>
      <c r="C112" s="156" t="s">
        <v>161</v>
      </c>
      <c r="D112" s="153"/>
      <c r="E112" s="153"/>
      <c r="F112" s="165" t="s">
        <v>684</v>
      </c>
      <c r="G112" s="238" t="s">
        <v>685</v>
      </c>
      <c r="H112" s="153"/>
      <c r="I112" s="156" t="s">
        <v>686</v>
      </c>
      <c r="J112" s="165" t="s">
        <v>430</v>
      </c>
      <c r="K112" s="177"/>
      <c r="L112" s="177" t="s">
        <v>687</v>
      </c>
      <c r="M112" s="156"/>
      <c r="N112" s="241" t="s">
        <v>688</v>
      </c>
      <c r="O112" s="237"/>
    </row>
    <row r="113" spans="1:43" s="238" customFormat="1" ht="23.1" customHeight="1">
      <c r="A113" s="156"/>
      <c r="B113" s="176"/>
      <c r="C113" s="156"/>
      <c r="D113" s="153"/>
      <c r="E113" s="153"/>
      <c r="F113" s="165"/>
      <c r="H113" s="153"/>
      <c r="I113" s="156"/>
      <c r="J113" s="165"/>
      <c r="K113" s="177"/>
      <c r="L113" s="177"/>
      <c r="M113" s="156"/>
      <c r="N113" s="241"/>
      <c r="O113" s="237"/>
    </row>
    <row r="114" spans="1:43" s="238" customFormat="1" ht="23.1" customHeight="1">
      <c r="A114" s="156"/>
      <c r="B114" s="176"/>
      <c r="C114" s="156"/>
      <c r="D114" s="153"/>
      <c r="E114" s="153"/>
      <c r="F114" s="165"/>
      <c r="H114" s="153"/>
      <c r="I114" s="156"/>
      <c r="J114" s="165"/>
      <c r="K114" s="177"/>
      <c r="L114" s="177"/>
      <c r="M114" s="156"/>
      <c r="N114" s="241"/>
      <c r="O114" s="237"/>
    </row>
    <row r="115" spans="1:43" s="238" customFormat="1" ht="23.1" customHeight="1">
      <c r="A115" s="156"/>
      <c r="B115" s="240" t="s">
        <v>689</v>
      </c>
      <c r="C115" s="156"/>
      <c r="D115" s="156"/>
      <c r="E115" s="153"/>
      <c r="F115" s="165"/>
      <c r="H115" s="153"/>
      <c r="I115" s="156"/>
      <c r="J115" s="165"/>
      <c r="K115" s="172"/>
      <c r="L115" s="159"/>
      <c r="M115" s="156"/>
      <c r="N115" s="236"/>
      <c r="O115" s="237"/>
    </row>
    <row r="116" spans="1:43" s="238" customFormat="1" ht="23.1" customHeight="1">
      <c r="A116" s="156">
        <v>77</v>
      </c>
      <c r="B116" s="178" t="s">
        <v>690</v>
      </c>
      <c r="C116" s="156" t="s">
        <v>467</v>
      </c>
      <c r="D116" s="156"/>
      <c r="E116" s="153"/>
      <c r="F116" s="165"/>
      <c r="G116" s="238" t="s">
        <v>691</v>
      </c>
      <c r="H116" s="153"/>
      <c r="I116" s="156" t="s">
        <v>692</v>
      </c>
      <c r="J116" s="165" t="s">
        <v>8</v>
      </c>
      <c r="K116" s="172"/>
      <c r="L116" s="159" t="s">
        <v>693</v>
      </c>
      <c r="M116" s="156"/>
      <c r="N116" s="236"/>
      <c r="O116" s="237"/>
    </row>
    <row r="117" spans="1:43" s="238" customFormat="1" ht="23.1" customHeight="1">
      <c r="A117" s="156"/>
      <c r="B117" s="240"/>
      <c r="C117" s="156"/>
      <c r="D117" s="156"/>
      <c r="E117" s="153"/>
      <c r="F117" s="165"/>
      <c r="H117" s="153"/>
      <c r="I117" s="156"/>
      <c r="J117" s="165"/>
      <c r="K117" s="172"/>
      <c r="L117" s="159"/>
      <c r="M117" s="156"/>
      <c r="N117" s="236"/>
      <c r="O117" s="237"/>
    </row>
    <row r="118" spans="1:43" s="238" customFormat="1" ht="23.1" customHeight="1">
      <c r="A118" s="156"/>
      <c r="B118" s="240"/>
      <c r="C118" s="156"/>
      <c r="D118" s="156"/>
      <c r="E118" s="153"/>
      <c r="F118" s="165"/>
      <c r="H118" s="153"/>
      <c r="I118" s="156"/>
      <c r="J118" s="165"/>
      <c r="K118" s="172"/>
      <c r="L118" s="159"/>
      <c r="M118" s="156"/>
      <c r="N118" s="236"/>
      <c r="O118" s="237"/>
    </row>
    <row r="119" spans="1:43" s="238" customFormat="1" ht="23.1" customHeight="1">
      <c r="A119" s="156"/>
      <c r="B119" s="240" t="s">
        <v>694</v>
      </c>
      <c r="C119" s="156"/>
      <c r="D119" s="156"/>
      <c r="E119" s="153"/>
      <c r="F119" s="165"/>
      <c r="H119" s="153"/>
      <c r="I119" s="156"/>
      <c r="J119" s="165"/>
      <c r="K119" s="172"/>
      <c r="L119" s="159"/>
      <c r="M119" s="156"/>
      <c r="N119" s="236"/>
      <c r="O119" s="237"/>
    </row>
    <row r="120" spans="1:43" s="238" customFormat="1" ht="23.1" customHeight="1">
      <c r="A120" s="156">
        <v>78</v>
      </c>
      <c r="B120" s="176" t="s">
        <v>695</v>
      </c>
      <c r="C120" s="156" t="s">
        <v>161</v>
      </c>
      <c r="D120" s="153"/>
      <c r="E120" s="153"/>
      <c r="F120" s="165" t="s">
        <v>696</v>
      </c>
      <c r="G120" s="238" t="s">
        <v>697</v>
      </c>
      <c r="H120" s="153"/>
      <c r="I120" s="156" t="s">
        <v>698</v>
      </c>
      <c r="J120" s="165" t="s">
        <v>430</v>
      </c>
      <c r="L120" s="177" t="s">
        <v>699</v>
      </c>
      <c r="M120" s="156"/>
      <c r="N120" s="241" t="s">
        <v>700</v>
      </c>
      <c r="O120" s="237"/>
    </row>
    <row r="121" spans="1:43" s="238" customFormat="1" ht="23.1" customHeight="1">
      <c r="A121" s="156">
        <v>79</v>
      </c>
      <c r="B121" s="176" t="s">
        <v>701</v>
      </c>
      <c r="C121" s="156" t="s">
        <v>161</v>
      </c>
      <c r="D121" s="153"/>
      <c r="E121" s="153"/>
      <c r="F121" s="165" t="s">
        <v>456</v>
      </c>
      <c r="G121" s="238" t="s">
        <v>702</v>
      </c>
      <c r="H121" s="153"/>
      <c r="I121" s="156" t="s">
        <v>703</v>
      </c>
      <c r="J121" s="165" t="s">
        <v>430</v>
      </c>
      <c r="K121" s="175"/>
      <c r="L121" s="175" t="s">
        <v>704</v>
      </c>
      <c r="M121" s="156"/>
      <c r="N121" s="241" t="s">
        <v>705</v>
      </c>
      <c r="O121" s="237"/>
    </row>
    <row r="122" spans="1:43" s="238" customFormat="1" ht="23.1" customHeight="1">
      <c r="A122" s="156"/>
      <c r="B122" s="176"/>
      <c r="C122" s="156"/>
      <c r="F122" s="165"/>
      <c r="I122" s="165"/>
      <c r="J122" s="165"/>
      <c r="K122" s="176"/>
      <c r="L122" s="165"/>
      <c r="M122" s="156"/>
      <c r="N122" s="178"/>
      <c r="O122" s="242"/>
      <c r="P122" s="243"/>
      <c r="Q122" s="243"/>
      <c r="R122" s="243"/>
      <c r="S122" s="243"/>
      <c r="T122" s="243"/>
      <c r="U122" s="243"/>
      <c r="V122" s="243"/>
      <c r="W122" s="243"/>
      <c r="X122" s="243"/>
      <c r="Y122" s="243"/>
      <c r="Z122" s="243"/>
      <c r="AA122" s="243"/>
      <c r="AB122" s="243"/>
      <c r="AC122" s="243"/>
      <c r="AD122" s="243"/>
      <c r="AE122" s="243"/>
      <c r="AF122" s="243"/>
      <c r="AG122" s="243"/>
      <c r="AH122" s="243"/>
      <c r="AI122" s="243"/>
      <c r="AJ122" s="243"/>
      <c r="AK122" s="243"/>
      <c r="AL122" s="243"/>
      <c r="AM122" s="243"/>
      <c r="AN122" s="243"/>
      <c r="AO122" s="243"/>
      <c r="AP122" s="243"/>
      <c r="AQ122" s="243"/>
    </row>
    <row r="123" spans="1:43" s="244" customFormat="1" ht="23.1" customHeight="1">
      <c r="A123" s="183"/>
      <c r="B123" s="184"/>
      <c r="C123" s="183"/>
      <c r="F123" s="185"/>
      <c r="I123" s="185"/>
      <c r="J123" s="185"/>
      <c r="K123" s="184"/>
      <c r="L123" s="185"/>
      <c r="M123" s="183"/>
      <c r="N123" s="245"/>
      <c r="O123" s="246"/>
      <c r="P123" s="247"/>
      <c r="Q123" s="247"/>
      <c r="R123" s="247"/>
      <c r="S123" s="247"/>
      <c r="T123" s="247"/>
      <c r="U123" s="247"/>
      <c r="V123" s="247"/>
      <c r="W123" s="247"/>
      <c r="X123" s="247"/>
      <c r="Y123" s="247"/>
      <c r="Z123" s="247"/>
      <c r="AA123" s="247"/>
      <c r="AB123" s="247"/>
      <c r="AC123" s="247"/>
      <c r="AD123" s="247"/>
      <c r="AE123" s="247"/>
      <c r="AF123" s="247"/>
      <c r="AG123" s="247"/>
      <c r="AH123" s="247"/>
      <c r="AI123" s="247"/>
      <c r="AJ123" s="247"/>
      <c r="AK123" s="247"/>
      <c r="AL123" s="247"/>
      <c r="AM123" s="247"/>
      <c r="AN123" s="247"/>
      <c r="AO123" s="247"/>
      <c r="AP123" s="247"/>
      <c r="AQ123" s="247"/>
    </row>
  </sheetData>
  <mergeCells count="13">
    <mergeCell ref="J4:J5"/>
    <mergeCell ref="K4:N4"/>
    <mergeCell ref="P4:P5"/>
    <mergeCell ref="D2:H3"/>
    <mergeCell ref="I2:J3"/>
    <mergeCell ref="K2:O3"/>
    <mergeCell ref="G4:G5"/>
    <mergeCell ref="H4:H5"/>
    <mergeCell ref="A4:A5"/>
    <mergeCell ref="B4:B5"/>
    <mergeCell ref="C4:C5"/>
    <mergeCell ref="D4:E4"/>
    <mergeCell ref="F4:F5"/>
  </mergeCells>
  <hyperlinks>
    <hyperlink ref="N7" r:id="rId1" xr:uid="{BB7720DE-A2CF-482E-BF9E-CA94278C3C71}"/>
    <hyperlink ref="N8" r:id="rId2" xr:uid="{060AE821-09D6-40FD-B5C3-B410C45B9090}"/>
    <hyperlink ref="N9" r:id="rId3" xr:uid="{B485FF4A-3E03-4673-A1C6-4143B53653CB}"/>
    <hyperlink ref="N120" r:id="rId4" xr:uid="{67E4C20E-E977-4A11-9FE8-48429532C41E}"/>
    <hyperlink ref="N85" r:id="rId5" xr:uid="{B6787841-014F-4709-A049-6A3A9D7BF629}"/>
    <hyperlink ref="N112" r:id="rId6" xr:uid="{F4C1BE02-D294-4D36-A736-FE2C6B867966}"/>
    <hyperlink ref="N10" r:id="rId7" xr:uid="{2D3F205D-ACE5-4CA2-BD29-DFBC22850A99}"/>
    <hyperlink ref="N11" r:id="rId8" xr:uid="{6D0280D3-B776-44C3-8D69-22328EA815BC}"/>
    <hyperlink ref="N12" r:id="rId9" xr:uid="{B4779BB8-F370-4631-AC04-6C8E464AE8C7}"/>
    <hyperlink ref="N13" r:id="rId10" xr:uid="{EE9684E4-7361-45E0-9A36-F536BB070E14}"/>
    <hyperlink ref="N47" r:id="rId11" xr:uid="{A1D06C8B-F092-4C57-BA78-B322AA3710E4}"/>
    <hyperlink ref="N63" r:id="rId12" xr:uid="{8084BB3B-C6CC-4C4C-8D12-982C7F2BC37F}"/>
    <hyperlink ref="N67" r:id="rId13" xr:uid="{2EA38D54-2CF0-4DFA-AF71-D812F16AEBF9}"/>
  </hyperlinks>
  <pageMargins left="0.7" right="0.7" top="0.75" bottom="0.75" header="0.3" footer="0.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Sheet2</vt:lpstr>
      <vt:lpstr>รวม TSK </vt:lpstr>
      <vt:lpstr>Sheet1</vt:lpstr>
      <vt:lpstr>สิริยากร</vt:lpstr>
      <vt:lpstr>เอกนารี</vt:lpstr>
      <vt:lpstr>'รวม TSK '!Print_Titles</vt:lpstr>
    </vt:vector>
  </TitlesOfParts>
  <Company>Wiscogroup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Service</dc:creator>
  <cp:lastModifiedBy>Narumon NN. Head of MRO</cp:lastModifiedBy>
  <cp:lastPrinted>2023-11-13T08:35:19Z</cp:lastPrinted>
  <dcterms:created xsi:type="dcterms:W3CDTF">2013-10-29T10:13:36Z</dcterms:created>
  <dcterms:modified xsi:type="dcterms:W3CDTF">2026-06-05T08:01:00Z</dcterms:modified>
</cp:coreProperties>
</file>